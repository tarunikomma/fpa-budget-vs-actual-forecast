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2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7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Dashboard" sheetId="2" state="visible" r:id="rId4"/>
    <sheet name="BvA" sheetId="3" state="visible" r:id="rId5"/>
    <sheet name="Variance Analysis" sheetId="4" state="visible" r:id="rId6"/>
    <sheet name="Commentary" sheetId="5" state="visible" r:id="rId7"/>
    <sheet name="Forecast" sheetId="6" state="visible" r:id="rId8"/>
    <sheet name="Budget" sheetId="7" state="visible" r:id="rId9"/>
    <sheet name="Actuals" sheetId="8" state="visible" r:id="rId10"/>
    <sheet name="Assumptions" sheetId="9" state="visible" r:id="rId11"/>
    <sheet name="pbi_fact_PnL" sheetId="10" state="visible" r:id="rId12"/>
    <sheet name="pbi_fact_Units" sheetId="11" state="visible" r:id="rId13"/>
    <sheet name="pbi_dim_Account" sheetId="12" state="visible" r:id="rId14"/>
    <sheet name="pbi_dim_Product" sheetId="13" state="visible" r:id="rId15"/>
    <sheet name="pbi_dim_Scenario" sheetId="14" state="visible" r:id="rId16"/>
    <sheet name="pbi_dim_Date" sheetId="15" state="visible" r:id="rId17"/>
    <sheet name="pbi_Commentary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<sst xmlns="http://schemas.openxmlformats.org/spreadsheetml/2006/main" count="1725" uniqueCount="325">
  <si>
    <t xml:space="preserve">FP&amp;A Budget vs. Actual + Rolling Forecast Model</t>
  </si>
  <si>
    <t xml:space="preserve">Larkspur Home Goods, Inc. (fictional company) | FY2026 | Actuals closed through September, 9+3 forecast</t>
  </si>
  <si>
    <t xml:space="preserve">Prepared by</t>
  </si>
  <si>
    <t xml:space="preserve">[Your name]</t>
  </si>
  <si>
    <t xml:space="preserve">Disclaimer</t>
  </si>
  <si>
    <t xml:space="preserve">All company data is fictional and was simulated for portfolio purposes. No real company's financials are used.</t>
  </si>
  <si>
    <t xml:space="preserve">Company profile</t>
  </si>
  <si>
    <t xml:space="preserve">Mid-size direct-to-consumer and wholesale home goods brand, ~$21M annual revenue, three product lines: Kitchenware, Home Textiles, Home Decor &amp; Lighting.</t>
  </si>
  <si>
    <t xml:space="preserve">TAB</t>
  </si>
  <si>
    <t xml:space="preserve">PURPOSE</t>
  </si>
  <si>
    <t xml:space="preserve">Dashboard</t>
  </si>
  <si>
    <t xml:space="preserve">Management dashboard: KPI tiles, revenue and EBITDA trend, EBITDA bridge, cost variances, key takeaways.</t>
  </si>
  <si>
    <t xml:space="preserve">BvA</t>
  </si>
  <si>
    <t xml:space="preserve">Budget vs. Actual P&amp;L for the selected month, year-to-date, and full-year budget vs. 9+3 forecast. Change the month in the yellow cell.</t>
  </si>
  <si>
    <t xml:space="preserve">Variance Analysis</t>
  </si>
  <si>
    <t xml:space="preserve">Revenue price / volume / mix analysis, flexed-budget COGS analysis, and the Budget-to-Actual EBITDA bridge.</t>
  </si>
  <si>
    <t xml:space="preserve">Commentary</t>
  </si>
  <si>
    <t xml:space="preserve">Variance explanations by line item: driver, root cause, and how it is treated in the forecast.</t>
  </si>
  <si>
    <t xml:space="preserve">Forecast</t>
  </si>
  <si>
    <t xml:space="preserve">Rolling forecast: closed months pull actuals, open months are driver-based using the forecast levers on Assumptions.</t>
  </si>
  <si>
    <t xml:space="preserve">Budget</t>
  </si>
  <si>
    <t xml:space="preserve">Driver-based annual budget by month (units x price, standard costs, % of revenue and fixed opex).</t>
  </si>
  <si>
    <t xml:space="preserve">Actuals</t>
  </si>
  <si>
    <t xml:space="preserve">Monthly actuals as booked. Paste each new month here at close, then update 'Months of actuals closed' on Assumptions.</t>
  </si>
  <si>
    <t xml:space="preserve">Assumptions</t>
  </si>
  <si>
    <t xml:space="preserve">All budget drivers and forecast levers. Every hardcoded number in the model lives here or on Actuals.</t>
  </si>
  <si>
    <t xml:space="preserve">pbi_* tabs</t>
  </si>
  <si>
    <t xml:space="preserve">Star-schema tables for Power BI (2 fact tables, 5 dimension/lookup tables). Linked to the model by formula.</t>
  </si>
  <si>
    <t xml:space="preserve">COLOR LEGEND</t>
  </si>
  <si>
    <t xml:space="preserve">Blue text</t>
  </si>
  <si>
    <t xml:space="preserve">Hardcoded input you can change.</t>
  </si>
  <si>
    <t xml:space="preserve">Black text</t>
  </si>
  <si>
    <t xml:space="preserve">Formula on the same sheet.</t>
  </si>
  <si>
    <t xml:space="preserve">Green text</t>
  </si>
  <si>
    <t xml:space="preserve">Formula linking to another sheet.</t>
  </si>
  <si>
    <t xml:space="preserve">Yellow fill</t>
  </si>
  <si>
    <t xml:space="preserve">Key selector / lever / cell for you to fill in.</t>
  </si>
  <si>
    <t xml:space="preserve">CONVENTIONS</t>
  </si>
  <si>
    <t xml:space="preserve">Variance sign</t>
  </si>
  <si>
    <t xml:space="preserve">Variances are shown favorable = positive, unfavorable = negative (in parentheses) for every line. Revenue and profit: Actual - Budget. Costs: Budget - Actual.</t>
  </si>
  <si>
    <t xml:space="preserve">Month-end roll</t>
  </si>
  <si>
    <t xml:space="preserve">1) Enter the month on Actuals. 2) Set Assumptions!B6 to the new month count. 3) Review forecast levers. 4) Pick the month on BvA. 5) Extend the Actual rows on pbi_fact tabs.</t>
  </si>
  <si>
    <t xml:space="preserve">Checks</t>
  </si>
  <si>
    <t xml:space="preserve">Variance Analysis has reconciliation checks (price + volume = total revenue variance; bridge ties to actual EBITDA). All should read 0.</t>
  </si>
  <si>
    <t xml:space="preserve">Larkspur Home Goods, Inc.: FY2026 Performance Dashboard</t>
  </si>
  <si>
    <t xml:space="preserve">YTD Revenue</t>
  </si>
  <si>
    <t xml:space="preserve">YTD Gross Margin</t>
  </si>
  <si>
    <t xml:space="preserve">YTD EBITDA</t>
  </si>
  <si>
    <t xml:space="preserve">YTD EBITDA Margin</t>
  </si>
  <si>
    <t xml:space="preserve">FY Forecast Revenue</t>
  </si>
  <si>
    <t xml:space="preserve">FY Forecast EBITDA</t>
  </si>
  <si>
    <t xml:space="preserve">KEY TAKEAWAYS</t>
  </si>
  <si>
    <t xml:space="preserve">Detail: BvA (full P&amp;L), Variance Analysis (price/volume/mix, bridge), Commentary (drivers and actions).</t>
  </si>
  <si>
    <t xml:space="preserve">Budget vs. Actual</t>
  </si>
  <si>
    <t xml:space="preserve">Larkspur Home Goods, Inc. | FY2026 | Favorable variances positive, unfavorable in (parentheses)</t>
  </si>
  <si>
    <t xml:space="preserve">Reporting month</t>
  </si>
  <si>
    <t xml:space="preserve">Sep</t>
  </si>
  <si>
    <t xml:space="preserve">Full Year FY2026</t>
  </si>
  <si>
    <t xml:space="preserve">($ unless noted)</t>
  </si>
  <si>
    <t xml:space="preserve">Actual</t>
  </si>
  <si>
    <t xml:space="preserve">Var $</t>
  </si>
  <si>
    <t xml:space="preserve">Var %</t>
  </si>
  <si>
    <t xml:space="preserve">Status</t>
  </si>
  <si>
    <t xml:space="preserve">Flag</t>
  </si>
  <si>
    <t xml:space="preserve">Forecast (9+3)</t>
  </si>
  <si>
    <t xml:space="preserve">UNITS SOLD</t>
  </si>
  <si>
    <t xml:space="preserve">Kitchenware</t>
  </si>
  <si>
    <t xml:space="preserve">Home Textiles</t>
  </si>
  <si>
    <t xml:space="preserve">Home Decor &amp; Lighting</t>
  </si>
  <si>
    <t xml:space="preserve">Total Units</t>
  </si>
  <si>
    <t xml:space="preserve">REVENUE</t>
  </si>
  <si>
    <t xml:space="preserve">Total Revenue</t>
  </si>
  <si>
    <t xml:space="preserve">COST OF GOODS SOLD</t>
  </si>
  <si>
    <t xml:space="preserve">Materials</t>
  </si>
  <si>
    <t xml:space="preserve">Direct Labor</t>
  </si>
  <si>
    <t xml:space="preserve">Freight &amp; Fulfillment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</si>
  <si>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</si>
  <si>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</si>
  <si>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</si>
  <si>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</si>
  <si>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Salaries &amp; Benefits</t>
  </si>
  <si>
    <t xml:space="preserve">Marketing &amp; Advertising</t>
  </si>
  <si>
    <t xml:space="preserve">Rent &amp; Utilities</t>
  </si>
  <si>
    <t xml:space="preserve">Software &amp; IT</t>
  </si>
  <si>
    <t xml:space="preserve">Professional Fees</t>
  </si>
  <si>
    <t xml:space="preserve">Travel &amp; Entertainment</t>
  </si>
  <si>
    <t xml:space="preserve">Insurance</t>
  </si>
  <si>
    <t xml:space="preserve">Other G&amp;A</t>
  </si>
  <si>
    <t xml:space="preserve">Total Operating Expenses</t>
  </si>
  <si>
    <t xml:space="preserve">EBITDA</t>
  </si>
  <si>
    <t xml:space="preserve">EBITDA Margin %</t>
  </si>
  <si>
    <t xml:space="preserve">Var $ sign convention: revenue, gross profit, EBITDA = Actual - Budget; cost lines = Budget - Actual. Margin rows show the change in percentage points.</t>
  </si>
  <si>
    <t xml:space="preserve">Larkspur Home Goods, Inc. | Year-to-date, follows the reporting month on BvA</t>
  </si>
  <si>
    <t xml:space="preserve">1. REVENUE: PRICE / VOLUME / MIX</t>
  </si>
  <si>
    <t xml:space="preserve">Budget units</t>
  </si>
  <si>
    <t xml:space="preserve">Actual units</t>
  </si>
  <si>
    <t xml:space="preserve">Budget price</t>
  </si>
  <si>
    <t xml:space="preserve">Actual price</t>
  </si>
  <si>
    <t xml:space="preserve">Volume variance</t>
  </si>
  <si>
    <t xml:space="preserve">Price variance</t>
  </si>
  <si>
    <t xml:space="preserve">Total variance</t>
  </si>
  <si>
    <t xml:space="preserve">Check vs. BvA</t>
  </si>
  <si>
    <t xml:space="preserve">Total</t>
  </si>
  <si>
    <t xml:space="preserve">  of which pure volume (total unit change x budget avg. price)</t>
  </si>
  <si>
    <t xml:space="preserve">  of which mix (shift between product lines)</t>
  </si>
  <si>
    <t xml:space="preserve">Volume = (actual units - budget units) x budget price. Price = (actual price - budget price) x actual units.</t>
  </si>
  <si>
    <t xml:space="preserve">2. COST OF GOODS SOLD: FLEXED BUDGET</t>
  </si>
  <si>
    <t xml:space="preserve">Flexed budget (actual volume)</t>
  </si>
  <si>
    <t xml:space="preserve">Volume effect</t>
  </si>
  <si>
    <t xml:space="preserve">Rate / efficiency effect</t>
  </si>
  <si>
    <t xml:space="preserve">Flexed budget = what the budget would have been at actual volume (standard cost x actual units; budget freight % x actual revenue).</t>
  </si>
  <si>
    <t xml:space="preserve">3. EBITDA BRIDGE: BUDGET TO ACTUAL</t>
  </si>
  <si>
    <t xml:space="preserve">Amount</t>
  </si>
  <si>
    <t xml:space="preserve">Cumulative</t>
  </si>
  <si>
    <t xml:space="preserve">Chart: base</t>
  </si>
  <si>
    <t xml:space="preserve">Chart: total</t>
  </si>
  <si>
    <t xml:space="preserve">Chart: increase</t>
  </si>
  <si>
    <t xml:space="preserve">Chart: decrease</t>
  </si>
  <si>
    <t xml:space="preserve">Chart: label</t>
  </si>
  <si>
    <t xml:space="preserve">Budget EBITDA</t>
  </si>
  <si>
    <t xml:space="preserve">Price</t>
  </si>
  <si>
    <t xml:space="preserve">Volume &amp; mix (net of std. variable cost)</t>
  </si>
  <si>
    <t xml:space="preserve">Volume &amp; mix</t>
  </si>
  <si>
    <t xml:space="preserve">Material cost rate</t>
  </si>
  <si>
    <t xml:space="preserve">Material rate</t>
  </si>
  <si>
    <t xml:space="preserve">Labor rate &amp; overtime</t>
  </si>
  <si>
    <t xml:space="preserve">Labor rate</t>
  </si>
  <si>
    <t xml:space="preserve">Freight rate</t>
  </si>
  <si>
    <t xml:space="preserve">Salaries</t>
  </si>
  <si>
    <t xml:space="preserve">Marketing</t>
  </si>
  <si>
    <t xml:space="preserve">Other operating expenses</t>
  </si>
  <si>
    <t xml:space="preserve">Other opex</t>
  </si>
  <si>
    <t xml:space="preserve">Actual EBITDA</t>
  </si>
  <si>
    <t xml:space="preserve">Check: bridge ends at actual EBITDA on BvA (should be 0)</t>
  </si>
  <si>
    <t xml:space="preserve">4. YTD COST VARIANCES BY LINE (favorable + / unfavorable -)</t>
  </si>
  <si>
    <t xml:space="preserve">Chart: favorable</t>
  </si>
  <si>
    <t xml:space="preserve">Chart: unfavorable</t>
  </si>
  <si>
    <t xml:space="preserve">Variance Commentary</t>
  </si>
  <si>
    <t xml:space="preserve">Larkspur Home Goods, Inc. | Written at the September close (YTD Sep-26). Numbers are live links; text is as of that close.</t>
  </si>
  <si>
    <t xml:space="preserve">EXECUTIVE SUMMARY</t>
  </si>
  <si>
    <t xml:space="preserve">Line item</t>
  </si>
  <si>
    <t xml:space="preserve">YTD Budget</t>
  </si>
  <si>
    <t xml:space="preserve">YTD Actual</t>
  </si>
  <si>
    <t xml:space="preserve">Driver type</t>
  </si>
  <si>
    <t xml:space="preserve">What happened</t>
  </si>
  <si>
    <t xml:space="preserve">Forecast treatment / action</t>
  </si>
  <si>
    <t xml:space="preserve">Price / Volume</t>
  </si>
  <si>
    <t xml:space="preserve">March promotional pricing (about 2-3% below list) lifted units well above plan from April onward. The volume gain more than offset the lower price.</t>
  </si>
  <si>
    <t xml:space="preserve">Promo pricing and +8% volume vs. budget carried through Q4. Review promo ROI before the FY2027 price file.</t>
  </si>
  <si>
    <t xml:space="preserve">Volume (supply)</t>
  </si>
  <si>
    <t xml:space="preserve">A supplier delay caused stockouts in May and June, with units 14-20% below plan in those months. Volume recovered to within 3-5% of plan by August-September; pricing held.</t>
  </si>
  <si>
    <t xml:space="preserve">Forecast assumes -4% volume vs. budget in Q4. Second-source supplier qualified in August to reduce stockout risk.</t>
  </si>
  <si>
    <t xml:space="preserve">A 4% list price increase effective April held with no volume loss; units ran slightly ahead of plan.</t>
  </si>
  <si>
    <t xml:space="preserve">Higher price and +4% volume carried through Q4.</t>
  </si>
  <si>
    <t xml:space="preserve">Rate / Volume</t>
  </si>
  <si>
    <t xml:space="preserve">Cotton input costs rose about 7% from April, raising Home Textiles material cost per unit. Higher Kitchenware volume also added material spend, which is volume-driven rather than a cost overrun.</t>
  </si>
  <si>
    <t xml:space="preserve">Forecast keeps the higher textiles cost. Procurement is negotiating a 2027 fixed-price contract.</t>
  </si>
  <si>
    <t xml:space="preserve">Efficiency</t>
  </si>
  <si>
    <t xml:space="preserve">Overtime in July and August to rebuild Home Textiles inventory after the supplier delay; labor per unit ran 6-7% above standard in those months.</t>
  </si>
  <si>
    <t xml:space="preserve">Overtime ended in September. Forecast carries 2% over standard.</t>
  </si>
  <si>
    <t xml:space="preserve">Rate</t>
  </si>
  <si>
    <t xml:space="preserve">Carrier fuel surcharges from May, plus expedited inbound and customer shipments in June-July during the stockout recovery. Freight peaked near 6% of revenue vs. 4.5% budgeted.</t>
  </si>
  <si>
    <t xml:space="preserve">Forecast at 5.0% of revenue: surcharge stays, expediting stops. Carrier contract rebid planned for Q1 FY2027.</t>
  </si>
  <si>
    <t xml:space="preserve">Timing / Headcount</t>
  </si>
  <si>
    <t xml:space="preserve">Two open roles in February-March produced savings in H1. Both were filled by July, and July onward also carries a higher benefits renewal, so the run-rate is now above budget.</t>
  </si>
  <si>
    <t xml:space="preserve">Forecast at $298K per month including holiday temp staff. The YTD favorability will partly reverse in Q4.</t>
  </si>
  <si>
    <t xml:space="preserve">Discretionary</t>
  </si>
  <si>
    <t xml:space="preserve">Unbudgeted spring campaign in March and a larger back-to-school push in August. Spend supported the Kitchenware volume gain.</t>
  </si>
  <si>
    <t xml:space="preserve">Q4 held at 9.2% of revenue. Any further campaign needs a payback case.</t>
  </si>
  <si>
    <t xml:space="preserve">Scope change</t>
  </si>
  <si>
    <t xml:space="preserve">Inventory planning module added in May (about $6.5K per month), approved after the Home Textiles stockouts.</t>
  </si>
  <si>
    <t xml:space="preserve">Run-rate of $44.7K per month carried forward. Permanent increase to build into the FY2027 budget.</t>
  </si>
  <si>
    <t xml:space="preserve">One-time</t>
  </si>
  <si>
    <t xml:space="preserve">Legal fees for renegotiating the textiles supplier contract and recruiter fees for the two hires, mostly in June and July.</t>
  </si>
  <si>
    <t xml:space="preserve">Non-recurring. Forecast returns to about $24K per month.</t>
  </si>
  <si>
    <t xml:space="preserve">Savings</t>
  </si>
  <si>
    <t xml:space="preserve">One trade show attended virtually and lower sales travel in Q2-Q3.</t>
  </si>
  <si>
    <t xml:space="preserve">Forecast at $13K per month, slightly below budget.</t>
  </si>
  <si>
    <t xml:space="preserve">Contractual</t>
  </si>
  <si>
    <t xml:space="preserve">Lease renewal escalator effective July (+$2.1K per month).</t>
  </si>
  <si>
    <t xml:space="preserve">Carried in forecast.</t>
  </si>
  <si>
    <t xml:space="preserve">Policy renewed in July at about 8% higher premium.</t>
  </si>
  <si>
    <t xml:space="preserve">Mixed</t>
  </si>
  <si>
    <t xml:space="preserve">Small month-to-month fluctuations; no single driver.</t>
  </si>
  <si>
    <t xml:space="preserve">Forecast at YTD average.</t>
  </si>
  <si>
    <t xml:space="preserve">FY2026 Rolling Forecast (9+3)</t>
  </si>
  <si>
    <t xml:space="preserve">Larkspur Home Goods, Inc. | Closed months = actuals; open months = driver-based forecast from Assumptions</t>
  </si>
  <si>
    <t xml:space="preserve">Month #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</si>
  <si>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</si>
  <si>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</si>
  <si>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</si>
  <si>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</si>
  <si>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</si>
  <si>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</si>
  <si>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</si>
  <si>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</si>
  <si>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</si>
  <si>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</si>
  <si>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</si>
  <si>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</si>
  <si>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FY2026</t>
  </si>
  <si>
    <t xml:space="preserve">Basis</t>
  </si>
  <si>
    <t xml:space="preserve">Shaded columns are forecast months.</t>
  </si>
  <si>
    <t xml:space="preserve">FY2026 Budget</t>
  </si>
  <si>
    <t xml:space="preserve">Larkspur Home Goods, Inc. | Driver-based, built from Assumptions</t>
  </si>
  <si>
    <t xml:space="preserve">FY2026 Actuals</t>
  </si>
  <si>
    <t xml:space="preserve">Larkspur Home Goods, Inc. | As booked. Enter each month at close (blue cells); open months stay blank</t>
  </si>
  <si>
    <t xml:space="preserve">YTD</t>
  </si>
  <si>
    <t xml:space="preserve">Source: simulated general-ledger actuals for a fictional company.</t>
  </si>
  <si>
    <t xml:space="preserve">Assumptions and Drivers</t>
  </si>
  <si>
    <t xml:space="preserve">Larkspur Home Goods, Inc. | FY2026 | Blue = input</t>
  </si>
  <si>
    <t xml:space="preserve">Company</t>
  </si>
  <si>
    <t xml:space="preserve">Larkspur Home Goods, Inc.</t>
  </si>
  <si>
    <t xml:space="preserve">Fiscal year</t>
  </si>
  <si>
    <t xml:space="preserve">Months of actuals closed</t>
  </si>
  <si>
    <t xml:space="preserve">Drives the actual / forecast split on the Forecast tab</t>
  </si>
  <si>
    <t xml:space="preserve">Variance flag threshold (%)</t>
  </si>
  <si>
    <t xml:space="preserve">Variance flag threshold ($)</t>
  </si>
  <si>
    <t xml:space="preserve">YTD variances beyond both thresholds are flagged 'Explain' on BvA</t>
  </si>
  <si>
    <t xml:space="preserve">BUDGET: PRODUCT DRIVERS</t>
  </si>
  <si>
    <t xml:space="preserve">Annual units</t>
  </si>
  <si>
    <t xml:space="preserve">Price per unit ($)</t>
  </si>
  <si>
    <t xml:space="preserve">Material cost / unit ($)</t>
  </si>
  <si>
    <t xml:space="preserve">Direct labor / unit ($)</t>
  </si>
  <si>
    <t xml:space="preserve">BUDGET: SEASONALITY (% of annual units)</t>
  </si>
  <si>
    <t xml:space="preserve">Month</t>
  </si>
  <si>
    <t xml:space="preserve">Share of annual units</t>
  </si>
  <si>
    <t xml:space="preserve">Holiday-weighted: Nov-Dec carry 24% of annual volume. Must total 100%.</t>
  </si>
  <si>
    <t xml:space="preserve">BUDGET: COST DRIVERS</t>
  </si>
  <si>
    <t xml:space="preserve">Value</t>
  </si>
  <si>
    <t xml:space="preserve">Note</t>
  </si>
  <si>
    <t xml:space="preserve">Freight &amp; fulfillment (% of revenue)</t>
  </si>
  <si>
    <t xml:space="preserve">Carrier contract rate</t>
  </si>
  <si>
    <t xml:space="preserve">Marketing &amp; advertising (% of revenue)</t>
  </si>
  <si>
    <t xml:space="preserve">Board-approved spend ratio</t>
  </si>
  <si>
    <t xml:space="preserve">Salaries &amp; benefits (monthly, $)</t>
  </si>
  <si>
    <t xml:space="preserve">Approved headcount plan, fully loaded</t>
  </si>
  <si>
    <t xml:space="preserve">Annual merit increase (%)</t>
  </si>
  <si>
    <t xml:space="preserve">Applied from merit month onward</t>
  </si>
  <si>
    <t xml:space="preserve">Merit increase effective month (1-12)</t>
  </si>
  <si>
    <t xml:space="preserve">April</t>
  </si>
  <si>
    <t xml:space="preserve">Rent &amp; utilities (monthly, $)</t>
  </si>
  <si>
    <t xml:space="preserve">Current lease</t>
  </si>
  <si>
    <t xml:space="preserve">Software &amp; IT (monthly, $)</t>
  </si>
  <si>
    <t xml:space="preserve">Subscription schedule</t>
  </si>
  <si>
    <t xml:space="preserve">Professional fees (monthly, $)</t>
  </si>
  <si>
    <t xml:space="preserve">Legal and accounting retainers</t>
  </si>
  <si>
    <t xml:space="preserve">Annual audit fee ($)</t>
  </si>
  <si>
    <t xml:space="preserve">Booked in audit month</t>
  </si>
  <si>
    <t xml:space="preserve">Audit fee month (1-12)</t>
  </si>
  <si>
    <t xml:space="preserve">Travel &amp; entertainment (monthly, $)</t>
  </si>
  <si>
    <t xml:space="preserve">Trade shows and sales travel</t>
  </si>
  <si>
    <t xml:space="preserve">Insurance (monthly, $)</t>
  </si>
  <si>
    <t xml:space="preserve">Current policy</t>
  </si>
  <si>
    <t xml:space="preserve">Other G&amp;A (monthly, $)</t>
  </si>
  <si>
    <t xml:space="preserve">Office, bank fees, misc.</t>
  </si>
  <si>
    <t xml:space="preserve">FORECAST LEVERS: PRODUCT (open months)</t>
  </si>
  <si>
    <t xml:space="preserve">Volume vs. budget (%)</t>
  </si>
  <si>
    <t xml:space="preserve">Q3 actual volume vs. budget (ref.)</t>
  </si>
  <si>
    <t xml:space="preserve">Q3 actual price (ref.)</t>
  </si>
  <si>
    <t xml:space="preserve">Promo pricing continues through holiday; volume lift in line with Q3 run-rate</t>
  </si>
  <si>
    <t xml:space="preserve">Supply recovered in Q3; cotton cost increase (+7%) assumed to persist</t>
  </si>
  <si>
    <t xml:space="preserve">April 4% price increase holding; volume slightly ahead of plan</t>
  </si>
  <si>
    <t xml:space="preserve">FORECAST LEVERS: COSTS (open months)</t>
  </si>
  <si>
    <t xml:space="preserve">Budget (ref.)</t>
  </si>
  <si>
    <t xml:space="preserve">Q3 actual avg. (ref.)</t>
  </si>
  <si>
    <t xml:space="preserve">Direct labor cost vs. standard (%)</t>
  </si>
  <si>
    <t xml:space="preserve">Overtime ended in Sep; small residual wage pressure</t>
  </si>
  <si>
    <t xml:space="preserve">Fuel surcharge stays; expedited shipping eliminated</t>
  </si>
  <si>
    <t xml:space="preserve">Sep run-rate plus holiday temp support staff</t>
  </si>
  <si>
    <t xml:space="preserve">Holiday campaign held close to plan ratio</t>
  </si>
  <si>
    <t xml:space="preserve">Lease escalator effective July</t>
  </si>
  <si>
    <t xml:space="preserve">Includes inventory planning module added in May</t>
  </si>
  <si>
    <t xml:space="preserve">Supplier contract legal work complete</t>
  </si>
  <si>
    <t xml:space="preserve">Slightly above Q3 run-rate for holiday trade shows</t>
  </si>
  <si>
    <t xml:space="preserve">Renewed July at +8%</t>
  </si>
  <si>
    <t xml:space="preserve">YTD average</t>
  </si>
  <si>
    <t xml:space="preserve">Source for all inputs: simulated for this portfolio project (fictional company).</t>
  </si>
  <si>
    <t xml:space="preserve">Date</t>
  </si>
  <si>
    <t xml:space="preserve">Scenario</t>
  </si>
  <si>
    <t xml:space="preserve">AccountKey</t>
  </si>
  <si>
    <t xml:space="preserve">Product</t>
  </si>
  <si>
    <t xml:space="preserve">Unallocated</t>
  </si>
  <si>
    <t xml:space="preserve">Units</t>
  </si>
  <si>
    <t xml:space="preserve">Account</t>
  </si>
  <si>
    <t xml:space="preserve">Category</t>
  </si>
  <si>
    <t xml:space="preserve">CategoryName</t>
  </si>
  <si>
    <t xml:space="preserve">CategorySort</t>
  </si>
  <si>
    <t xml:space="preserve">Sign</t>
  </si>
  <si>
    <t xml:space="preserve">Kitchenware Revenue</t>
  </si>
  <si>
    <t xml:space="preserve">Revenue</t>
  </si>
  <si>
    <t xml:space="preserve">Home Textiles Revenue</t>
  </si>
  <si>
    <t xml:space="preserve">Home Decor &amp; Lighting Revenue</t>
  </si>
  <si>
    <t xml:space="preserve">COGS</t>
  </si>
  <si>
    <t xml:space="preserve">Cost of Goods Sold</t>
  </si>
  <si>
    <t xml:space="preserve">Opex</t>
  </si>
  <si>
    <t xml:space="preserve">Operating Expenses</t>
  </si>
  <si>
    <t xml:space="preserve">ProductSort</t>
  </si>
  <si>
    <t xml:space="preserve">ScenarioSort</t>
  </si>
  <si>
    <t xml:space="preserve">Description</t>
  </si>
  <si>
    <t xml:space="preserve">Approved FY2026 annual budget</t>
  </si>
  <si>
    <t xml:space="preserve">Booked actuals for closed months</t>
  </si>
  <si>
    <t xml:space="preserve">9+3 rolling forecast: actuals for closed months plus forecast for open months</t>
  </si>
  <si>
    <t xml:space="preserve">Year</t>
  </si>
  <si>
    <t xml:space="preserve">MonthNum</t>
  </si>
  <si>
    <t xml:space="preserve">MonthYear</t>
  </si>
  <si>
    <t xml:space="preserve">Quarter</t>
  </si>
  <si>
    <t xml:space="preserve">IsClosed</t>
  </si>
  <si>
    <t xml:space="preserve">Jan</t>
  </si>
  <si>
    <t xml:space="preserve">Q1</t>
  </si>
  <si>
    <t xml:space="preserve">Feb</t>
  </si>
  <si>
    <t xml:space="preserve">Mar</t>
  </si>
  <si>
    <t xml:space="preserve">Apr</t>
  </si>
  <si>
    <t xml:space="preserve">Q2</t>
  </si>
  <si>
    <t xml:space="preserve">May</t>
  </si>
  <si>
    <t xml:space="preserve">Jun</t>
  </si>
  <si>
    <t xml:space="preserve">Jul</t>
  </si>
  <si>
    <t xml:space="preserve">Q3</t>
  </si>
  <si>
    <t xml:space="preserve">Aug</t>
  </si>
  <si>
    <t xml:space="preserve">Oct</t>
  </si>
  <si>
    <t xml:space="preserve">Q4</t>
  </si>
  <si>
    <t xml:space="preserve">Nov</t>
  </si>
  <si>
    <t xml:space="preserve">Dec</t>
  </si>
  <si>
    <t xml:space="preserve">DriverType</t>
  </si>
  <si>
    <t xml:space="preserve">ForecastTreatment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</si>
</sst>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;&quot;($&quot;#,##0\);\-"/>
    <numFmt numFmtId="166" formatCode="0.0%"/>
    <numFmt numFmtId="167" formatCode="\$#,##0,\K"/>
    <numFmt numFmtId="168" formatCode="General"/>
    <numFmt numFmtId="169" formatCode="#,##0;\(#,##0\);\-"/>
    <numFmt numFmtId="170" formatCode="0.0%;\(0.0%\);\-"/>
    <numFmt numFmtId="171" formatCode="0.0%&quot; pts&quot;;\(0.0%&quot; pts)&quot;;\-"/>
    <numFmt numFmtId="172" formatCode="\$#,##0.00;&quot;($&quot;#,##0.00\);\-"/>
    <numFmt numFmtId="173" formatCode="0"/>
    <numFmt numFmtId="174" formatCode="yyyy\-mm\-dd"/>
    <numFmt numFmtId="175" formatCode="#,##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10"/>
      <color rgb="FF008000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9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1F3864"/>
      <name val="Arial"/>
      <family val="0"/>
      <charset val="1"/>
    </font>
    <font>
      <sz val="8"/>
      <color rgb="FF7F7F7F"/>
      <name val="Arial"/>
      <family val="0"/>
      <charset val="1"/>
    </font>
    <font>
      <i val="true"/>
      <sz val="8"/>
      <color rgb="FF7F7F7F"/>
      <name val="Arial"/>
      <family val="0"/>
      <charset val="1"/>
    </font>
    <font>
      <b val="true"/>
      <sz val="10"/>
      <color rgb="FFB26A00"/>
      <name val="Arial"/>
      <family val="0"/>
      <charset val="1"/>
    </font>
    <font>
      <sz val="10"/>
      <color rgb="FF7F7F7F"/>
      <name val="Arial"/>
      <family val="0"/>
      <charset val="1"/>
    </font>
    <font>
      <sz val="10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5FA"/>
        <bgColor rgb="FFFFFFFF"/>
      </patternFill>
    </fill>
    <fill>
      <patternFill patternType="solid">
        <fgColor rgb="FFD9E1F2"/>
        <bgColor rgb="FFE3E6E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FC7D5"/>
      </left>
      <right style="thin">
        <color rgb="FFBFC7D5"/>
      </right>
      <top style="thin">
        <color rgb="FFBFC7D5"/>
      </top>
      <bottom/>
      <diagonal/>
    </border>
    <border diagonalUp="false" diagonalDown="false">
      <left style="thin">
        <color rgb="FFBFC7D5"/>
      </left>
      <right style="thin">
        <color rgb="FFBFC7D5"/>
      </right>
      <top/>
      <bottom/>
      <diagonal/>
    </border>
    <border diagonalUp="false" diagonalDown="false">
      <left style="thin">
        <color rgb="FFBFC7D5"/>
      </left>
      <right style="thin">
        <color rgb="FFBFC7D5"/>
      </right>
      <top/>
      <bottom style="thin">
        <color rgb="FFBFC7D5"/>
      </bottom>
      <diagonal/>
    </border>
    <border diagonalUp="false" diagonalDown="false">
      <left/>
      <right/>
      <top style="thin">
        <color rgb="FF808080"/>
      </top>
      <bottom/>
      <diagonal/>
    </border>
    <border diagonalUp="false" diagonalDown="false">
      <left/>
      <right/>
      <top/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6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6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ont>
        <name val="Arial"/>
        <charset val="1"/>
        <family val="0"/>
        <b val="1"/>
        <color rgb="FFC62828"/>
        <sz val="9"/>
      </font>
    </dxf>
    <dxf>
      <font>
        <name val="Arial"/>
        <charset val="1"/>
        <family val="0"/>
        <b val="1"/>
        <color rgb="FF2E7D32"/>
        <sz val="9"/>
      </font>
    </dxf>
    <dxf>
      <font>
        <name val="Arial"/>
        <charset val="1"/>
        <family val="0"/>
        <b val="1"/>
        <color rgb="FFC62828"/>
        <sz val="8"/>
      </font>
    </dxf>
    <dxf>
      <font>
        <name val="Arial"/>
        <charset val="1"/>
        <family val="0"/>
        <b val="1"/>
        <color rgb="FF2E7D32"/>
      </font>
    </dxf>
    <dxf>
      <font>
        <name val="Arial"/>
        <charset val="1"/>
        <family val="0"/>
        <b val="1"/>
        <color rgb="FFC62828"/>
      </font>
    </dxf>
    <dxf>
      <font>
        <name val="Arial"/>
        <charset val="1"/>
        <family val="0"/>
        <color rgb="FFC62828"/>
      </font>
    </dxf>
    <dxf>
      <fill>
        <patternFill>
          <bgColor rgb="FFFFF8E1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C7D5"/>
      <rgbColor rgb="FF808080"/>
      <rgbColor rgb="FF7A8598"/>
      <rgbColor rgb="FF7F7F7F"/>
      <rgbColor rgb="FFFFF8E1"/>
      <rgbColor rgb="FFF2F5FA"/>
      <rgbColor rgb="FF660066"/>
      <rgbColor rgb="FFFF8080"/>
      <rgbColor rgb="FF1F5F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6EC"/>
      <rgbColor rgb="FFD9E1F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B26A00"/>
      <rgbColor rgb="FF595959"/>
      <rgbColor rgb="FF878787"/>
      <rgbColor rgb="FF1F3864"/>
      <rgbColor rgb="FF2E7D32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Revenue: Budget vs. Actual / Forecast (Oct-Dec = forecast)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"Budget"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7a8598"/>
            </a:solidFill>
            <a:ln w="0">
              <a:solidFill>
                <a:srgbClr val="7a859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Budget!$B$4:$M$4</c:f>
              <c:multiLvlStrCache>
                <c:ptCount val="1"/>
                <c:lvl>
                  <c:pt idx="0">
                    <c:v>Dec-26</c:v>
                  </c:pt>
                </c:lvl>
                <c:lvl>
                  <c:pt idx="0">
                    <c:v>Nov-26</c:v>
                  </c:pt>
                </c:lvl>
                <c:lvl>
                  <c:pt idx="0">
                    <c:v>Oct-26</c:v>
                  </c:pt>
                </c:lvl>
                <c:lvl>
                  <c:pt idx="0">
                    <c:v>Sep-26</c:v>
                  </c:pt>
                </c:lvl>
                <c:lvl>
                  <c:pt idx="0">
                    <c:v>Aug-26</c:v>
                  </c:pt>
                </c:lvl>
                <c:lvl>
                  <c:pt idx="0">
                    <c:v>Jul-26</c:v>
                  </c:pt>
                </c:lvl>
                <c:lvl>
                  <c:pt idx="0">
                    <c:v>Jun-26</c:v>
                  </c:pt>
                </c:lvl>
                <c:lvl>
                  <c:pt idx="0">
                    <c:v>May-26</c:v>
                  </c:pt>
                </c:lvl>
                <c:lvl>
                  <c:pt idx="0">
                    <c:v>Apr-26</c:v>
                  </c:pt>
                </c:lvl>
                <c:lvl>
                  <c:pt idx="0">
                    <c:v>Mar-26</c:v>
                  </c:pt>
                </c:lvl>
                <c:lvl>
                  <c:pt idx="0">
                    <c:v>Feb-26</c:v>
                  </c:pt>
                </c:lvl>
                <c:lvl>
                  <c:pt idx="0">
                    <c:v>Jan-26</c:v>
                  </c:pt>
                </c:lvl>
              </c:multiLvlStrCache>
            </c:multiLvlStrRef>
          </c:cat>
          <c:val>
            <c:numRef>
              <c:f>Budget!$B$15:$M$15</c:f>
              <c:numCache>
                <c:formatCode>\$#,##0;"($"#,##0\);\-</c:formatCode>
                <c:ptCount val="12"/>
                <c:pt idx="0">
                  <c:v>1497600</c:v>
                </c:pt>
                <c:pt idx="1">
                  <c:v>1497600</c:v>
                </c:pt>
                <c:pt idx="2">
                  <c:v>1728000</c:v>
                </c:pt>
                <c:pt idx="3">
                  <c:v>1728000</c:v>
                </c:pt>
                <c:pt idx="4">
                  <c:v>1843200</c:v>
                </c:pt>
                <c:pt idx="5">
                  <c:v>1728000</c:v>
                </c:pt>
                <c:pt idx="6">
                  <c:v>1612800</c:v>
                </c:pt>
                <c:pt idx="7">
                  <c:v>1728000</c:v>
                </c:pt>
                <c:pt idx="8">
                  <c:v>1958400</c:v>
                </c:pt>
                <c:pt idx="9">
                  <c:v>2188800</c:v>
                </c:pt>
                <c:pt idx="10">
                  <c:v>2880000</c:v>
                </c:pt>
                <c:pt idx="11">
                  <c:v>2649600</c:v>
                </c:pt>
              </c:numCache>
            </c:numRef>
          </c:val>
        </c:ser>
        <c:ser>
          <c:idx val="1"/>
          <c:order val="1"/>
          <c:tx>
            <c:strRef>
              <c:f>"Actual / Forecast (9+3)"</c:f>
              <c:strCache>
                <c:ptCount val="1"/>
                <c:pt idx="0">
                  <c:v>Actual / Forecast (9+3)</c:v>
                </c:pt>
              </c:strCache>
            </c:strRef>
          </c:tx>
          <c:spPr>
            <a:solidFill>
              <a:srgbClr val="1f5fa8"/>
            </a:solidFill>
            <a:ln w="0">
              <a:solidFill>
                <a:srgbClr val="1f5fa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Budget!$B$4:$M$4</c:f>
              <c:multiLvlStrCache>
                <c:ptCount val="1"/>
                <c:lvl>
                  <c:pt idx="0">
                    <c:v>Dec-26</c:v>
                  </c:pt>
                </c:lvl>
                <c:lvl>
                  <c:pt idx="0">
                    <c:v>Nov-26</c:v>
                  </c:pt>
                </c:lvl>
                <c:lvl>
                  <c:pt idx="0">
                    <c:v>Oct-26</c:v>
                  </c:pt>
                </c:lvl>
                <c:lvl>
                  <c:pt idx="0">
                    <c:v>Sep-26</c:v>
                  </c:pt>
                </c:lvl>
                <c:lvl>
                  <c:pt idx="0">
                    <c:v>Aug-26</c:v>
                  </c:pt>
                </c:lvl>
                <c:lvl>
                  <c:pt idx="0">
                    <c:v>Jul-26</c:v>
                  </c:pt>
                </c:lvl>
                <c:lvl>
                  <c:pt idx="0">
                    <c:v>Jun-26</c:v>
                  </c:pt>
                </c:lvl>
                <c:lvl>
                  <c:pt idx="0">
                    <c:v>May-26</c:v>
                  </c:pt>
                </c:lvl>
                <c:lvl>
                  <c:pt idx="0">
                    <c:v>Apr-26</c:v>
                  </c:pt>
                </c:lvl>
                <c:lvl>
                  <c:pt idx="0">
                    <c:v>Mar-26</c:v>
                  </c:pt>
                </c:lvl>
                <c:lvl>
                  <c:pt idx="0">
                    <c:v>Feb-26</c:v>
                  </c:pt>
                </c:lvl>
                <c:lvl>
                  <c:pt idx="0">
                    <c:v>Jan-26</c:v>
                  </c:pt>
                </c:lvl>
              </c:multiLvlStrCache>
            </c:multiLvlStrRef>
          </c:cat>
          <c:val>
            <c:numRef>
              <c:f>Forecast!$B$15:$M$15</c:f>
              <c:numCache>
                <c:formatCode>\$#,##0;"($"#,##0\);\-</c:formatCode>
                <c:ptCount val="12"/>
                <c:pt idx="0">
                  <c:v>1498926</c:v>
                </c:pt>
                <c:pt idx="1">
                  <c:v>1490424</c:v>
                </c:pt>
                <c:pt idx="2">
                  <c:v>1742702</c:v>
                </c:pt>
                <c:pt idx="3">
                  <c:v>1771917</c:v>
                </c:pt>
                <c:pt idx="4">
                  <c:v>1840574</c:v>
                </c:pt>
                <c:pt idx="5">
                  <c:v>1690139</c:v>
                </c:pt>
                <c:pt idx="6">
                  <c:v>1626414</c:v>
                </c:pt>
                <c:pt idx="7">
                  <c:v>1787706</c:v>
                </c:pt>
                <c:pt idx="8">
                  <c:v>2031158</c:v>
                </c:pt>
                <c:pt idx="9">
                  <c:v>2257519.2</c:v>
                </c:pt>
                <c:pt idx="10">
                  <c:v>2970420</c:v>
                </c:pt>
                <c:pt idx="11">
                  <c:v>2732786.4</c:v>
                </c:pt>
              </c:numCache>
            </c:numRef>
          </c:val>
        </c:ser>
        <c:gapWidth val="60"/>
        <c:overlap val="-10"/>
        <c:axId val="194546"/>
        <c:axId val="87890359"/>
      </c:barChart>
      <c:catAx>
        <c:axId val="1945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890359"/>
        <c:crosses val="autoZero"/>
        <c:auto val="1"/>
        <c:lblAlgn val="ctr"/>
        <c:lblOffset val="100"/>
        <c:noMultiLvlLbl val="0"/>
      </c:catAx>
      <c:valAx>
        <c:axId val="87890359"/>
        <c:scaling>
          <c:orientation val="minMax"/>
        </c:scaling>
        <c:delete val="0"/>
        <c:axPos val="l"/>
        <c:majorGridlines>
          <c:spPr>
            <a:ln w="6480">
              <a:solidFill>
                <a:srgbClr val="e3e6ec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454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EBITDA: Budget vs. Actual / Forecast (Oct-Dec = forecast)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"Budget"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7a8598"/>
            </a:solidFill>
            <a:ln w="25560">
              <a:solidFill>
                <a:srgbClr val="7a8598"/>
              </a:solidFill>
              <a:round/>
            </a:ln>
          </c:spPr>
          <c:marker>
            <c:symbol val="circle"/>
            <c:size val="6"/>
            <c:spPr>
              <a:solidFill>
                <a:srgbClr val="7a859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Budget!$B$4:$M$4</c:f>
              <c:multiLvlStrCache>
                <c:ptCount val="1"/>
                <c:lvl>
                  <c:pt idx="0">
                    <c:v>Dec-26</c:v>
                  </c:pt>
                </c:lvl>
                <c:lvl>
                  <c:pt idx="0">
                    <c:v>Nov-26</c:v>
                  </c:pt>
                </c:lvl>
                <c:lvl>
                  <c:pt idx="0">
                    <c:v>Oct-26</c:v>
                  </c:pt>
                </c:lvl>
                <c:lvl>
                  <c:pt idx="0">
                    <c:v>Sep-26</c:v>
                  </c:pt>
                </c:lvl>
                <c:lvl>
                  <c:pt idx="0">
                    <c:v>Aug-26</c:v>
                  </c:pt>
                </c:lvl>
                <c:lvl>
                  <c:pt idx="0">
                    <c:v>Jul-26</c:v>
                  </c:pt>
                </c:lvl>
                <c:lvl>
                  <c:pt idx="0">
                    <c:v>Jun-26</c:v>
                  </c:pt>
                </c:lvl>
                <c:lvl>
                  <c:pt idx="0">
                    <c:v>May-26</c:v>
                  </c:pt>
                </c:lvl>
                <c:lvl>
                  <c:pt idx="0">
                    <c:v>Apr-26</c:v>
                  </c:pt>
                </c:lvl>
                <c:lvl>
                  <c:pt idx="0">
                    <c:v>Mar-26</c:v>
                  </c:pt>
                </c:lvl>
                <c:lvl>
                  <c:pt idx="0">
                    <c:v>Feb-26</c:v>
                  </c:pt>
                </c:lvl>
                <c:lvl>
                  <c:pt idx="0">
                    <c:v>Jan-26</c:v>
                  </c:pt>
                </c:lvl>
              </c:multiLvlStrCache>
            </c:multiLvlStrRef>
          </c:cat>
          <c:val>
            <c:numRef>
              <c:f>Budget!$B$35:$M$35</c:f>
              <c:numCache>
                <c:formatCode>\$#,##0;"($"#,##0\);\-</c:formatCode>
                <c:ptCount val="12"/>
                <c:pt idx="0">
                  <c:v>125824</c:v>
                </c:pt>
                <c:pt idx="1">
                  <c:v>125824</c:v>
                </c:pt>
                <c:pt idx="2">
                  <c:v>214720</c:v>
                </c:pt>
                <c:pt idx="3">
                  <c:v>171170</c:v>
                </c:pt>
                <c:pt idx="4">
                  <c:v>250618</c:v>
                </c:pt>
                <c:pt idx="5">
                  <c:v>206170</c:v>
                </c:pt>
                <c:pt idx="6">
                  <c:v>161722</c:v>
                </c:pt>
                <c:pt idx="7">
                  <c:v>206170</c:v>
                </c:pt>
                <c:pt idx="8">
                  <c:v>295066</c:v>
                </c:pt>
                <c:pt idx="9">
                  <c:v>383962</c:v>
                </c:pt>
                <c:pt idx="10">
                  <c:v>650650</c:v>
                </c:pt>
                <c:pt idx="11">
                  <c:v>561754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"Actual / Forecast (9+3)"</c:f>
              <c:strCache>
                <c:ptCount val="1"/>
                <c:pt idx="0">
                  <c:v>Actual / Forecast (9+3)</c:v>
                </c:pt>
              </c:strCache>
            </c:strRef>
          </c:tx>
          <c:spPr>
            <a:solidFill>
              <a:srgbClr val="1f5fa8"/>
            </a:solidFill>
            <a:ln w="25560">
              <a:solidFill>
                <a:srgbClr val="1f5fa8"/>
              </a:solidFill>
              <a:round/>
            </a:ln>
          </c:spPr>
          <c:marker>
            <c:symbol val="circle"/>
            <c:size val="6"/>
            <c:spPr>
              <a:solidFill>
                <a:srgbClr val="1f5fa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Budget!$B$4:$M$4</c:f>
              <c:multiLvlStrCache>
                <c:ptCount val="1"/>
                <c:lvl>
                  <c:pt idx="0">
                    <c:v>Dec-26</c:v>
                  </c:pt>
                </c:lvl>
                <c:lvl>
                  <c:pt idx="0">
                    <c:v>Nov-26</c:v>
                  </c:pt>
                </c:lvl>
                <c:lvl>
                  <c:pt idx="0">
                    <c:v>Oct-26</c:v>
                  </c:pt>
                </c:lvl>
                <c:lvl>
                  <c:pt idx="0">
                    <c:v>Sep-26</c:v>
                  </c:pt>
                </c:lvl>
                <c:lvl>
                  <c:pt idx="0">
                    <c:v>Aug-26</c:v>
                  </c:pt>
                </c:lvl>
                <c:lvl>
                  <c:pt idx="0">
                    <c:v>Jul-26</c:v>
                  </c:pt>
                </c:lvl>
                <c:lvl>
                  <c:pt idx="0">
                    <c:v>Jun-26</c:v>
                  </c:pt>
                </c:lvl>
                <c:lvl>
                  <c:pt idx="0">
                    <c:v>May-26</c:v>
                  </c:pt>
                </c:lvl>
                <c:lvl>
                  <c:pt idx="0">
                    <c:v>Apr-26</c:v>
                  </c:pt>
                </c:lvl>
                <c:lvl>
                  <c:pt idx="0">
                    <c:v>Mar-26</c:v>
                  </c:pt>
                </c:lvl>
                <c:lvl>
                  <c:pt idx="0">
                    <c:v>Feb-26</c:v>
                  </c:pt>
                </c:lvl>
                <c:lvl>
                  <c:pt idx="0">
                    <c:v>Jan-26</c:v>
                  </c:pt>
                </c:lvl>
              </c:multiLvlStrCache>
            </c:multiLvlStrRef>
          </c:cat>
          <c:val>
            <c:numRef>
              <c:f>Forecast!$B$35:$M$35</c:f>
              <c:numCache>
                <c:formatCode>\$#,##0;"($"#,##0\);\-</c:formatCode>
                <c:ptCount val="12"/>
                <c:pt idx="0">
                  <c:v>133232</c:v>
                </c:pt>
                <c:pt idx="1">
                  <c:v>136856</c:v>
                </c:pt>
                <c:pt idx="2">
                  <c:v>176241</c:v>
                </c:pt>
                <c:pt idx="3">
                  <c:v>185654</c:v>
                </c:pt>
                <c:pt idx="4">
                  <c:v>229217</c:v>
                </c:pt>
                <c:pt idx="5">
                  <c:v>129352</c:v>
                </c:pt>
                <c:pt idx="6">
                  <c:v>108000</c:v>
                </c:pt>
                <c:pt idx="7">
                  <c:v>155706</c:v>
                </c:pt>
                <c:pt idx="8">
                  <c:v>278360</c:v>
                </c:pt>
                <c:pt idx="9">
                  <c:v>362259.5136</c:v>
                </c:pt>
                <c:pt idx="10">
                  <c:v>626739.36</c:v>
                </c:pt>
                <c:pt idx="11">
                  <c:v>538579.4112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786887"/>
        <c:axId val="57519598"/>
      </c:lineChart>
      <c:catAx>
        <c:axId val="2786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519598"/>
        <c:crosses val="autoZero"/>
        <c:auto val="1"/>
        <c:lblAlgn val="ctr"/>
        <c:lblOffset val="100"/>
        <c:noMultiLvlLbl val="0"/>
      </c:catAx>
      <c:valAx>
        <c:axId val="57519598"/>
        <c:scaling>
          <c:orientation val="minMax"/>
        </c:scaling>
        <c:delete val="0"/>
        <c:axPos val="l"/>
        <c:majorGridlines>
          <c:spPr>
            <a:ln w="6480">
              <a:solidFill>
                <a:srgbClr val="e3e6ec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8688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YTD EBITDA Bridge: Budget to Actual (axis starts at $1.4M)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"base"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'Variance Analysis'!$H$22:$H$31</c:f>
              <c:strCache>
                <c:ptCount val="10"/>
                <c:pt idx="0">
                  <c:v>Budget</c:v>
                </c:pt>
                <c:pt idx="1">
                  <c:v>Price</c:v>
                </c:pt>
                <c:pt idx="2">
                  <c:v>Volume &amp; mix</c:v>
                </c:pt>
                <c:pt idx="3">
                  <c:v>Material rate</c:v>
                </c:pt>
                <c:pt idx="4">
                  <c:v>Labor rate</c:v>
                </c:pt>
                <c:pt idx="5">
                  <c:v>Freight rate</c:v>
                </c:pt>
                <c:pt idx="6">
                  <c:v>Salaries</c:v>
                </c:pt>
                <c:pt idx="7">
                  <c:v>Marketing</c:v>
                </c:pt>
                <c:pt idx="8">
                  <c:v>Other opex</c:v>
                </c:pt>
                <c:pt idx="9">
                  <c:v>Actual</c:v>
                </c:pt>
              </c:strCache>
            </c:strRef>
          </c:cat>
          <c:val>
            <c:numRef>
              <c:f>'Variance Analysis'!$D$22:$D$31</c:f>
              <c:numCache>
                <c:formatCode>\$#,##0;"($"#,##0\);\-</c:formatCode>
                <c:ptCount val="10"/>
                <c:pt idx="0">
                  <c:v>0</c:v>
                </c:pt>
                <c:pt idx="1">
                  <c:v>1757284</c:v>
                </c:pt>
                <c:pt idx="2">
                  <c:v>1771896</c:v>
                </c:pt>
                <c:pt idx="3">
                  <c:v>1775007.8</c:v>
                </c:pt>
                <c:pt idx="4">
                  <c:v>1737199.8</c:v>
                </c:pt>
                <c:pt idx="5">
                  <c:v>1637724</c:v>
                </c:pt>
                <c:pt idx="6">
                  <c:v>1637724</c:v>
                </c:pt>
                <c:pt idx="7">
                  <c:v>1599068</c:v>
                </c:pt>
                <c:pt idx="8">
                  <c:v>1532618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"Budget / Actual EBITDA"</c:f>
              <c:strCache>
                <c:ptCount val="1"/>
                <c:pt idx="0">
                  <c:v>Budget / Actual EBITDA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'Variance Analysis'!$H$22:$H$31</c:f>
              <c:strCache>
                <c:ptCount val="10"/>
                <c:pt idx="0">
                  <c:v>Budget</c:v>
                </c:pt>
                <c:pt idx="1">
                  <c:v>Price</c:v>
                </c:pt>
                <c:pt idx="2">
                  <c:v>Volume &amp; mix</c:v>
                </c:pt>
                <c:pt idx="3">
                  <c:v>Material rate</c:v>
                </c:pt>
                <c:pt idx="4">
                  <c:v>Labor rate</c:v>
                </c:pt>
                <c:pt idx="5">
                  <c:v>Freight rate</c:v>
                </c:pt>
                <c:pt idx="6">
                  <c:v>Salaries</c:v>
                </c:pt>
                <c:pt idx="7">
                  <c:v>Marketing</c:v>
                </c:pt>
                <c:pt idx="8">
                  <c:v>Other opex</c:v>
                </c:pt>
                <c:pt idx="9">
                  <c:v>Actual</c:v>
                </c:pt>
              </c:strCache>
            </c:strRef>
          </c:cat>
          <c:val>
            <c:numRef>
              <c:f>'Variance Analysis'!$E$22:$E$31</c:f>
              <c:numCache>
                <c:formatCode>\$#,##0;"($"#,##0\);\-</c:formatCode>
                <c:ptCount val="10"/>
                <c:pt idx="0">
                  <c:v>1757284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1532618</c:v>
                </c:pt>
              </c:numCache>
            </c:numRef>
          </c:val>
        </c:ser>
        <c:ser>
          <c:idx val="2"/>
          <c:order val="2"/>
          <c:tx>
            <c:strRef>
              <c:f>"Favorable"</c:f>
              <c:strCache>
                <c:ptCount val="1"/>
                <c:pt idx="0">
                  <c:v>Favorable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2e7d32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'Variance Analysis'!$H$22:$H$31</c:f>
              <c:strCache>
                <c:ptCount val="10"/>
                <c:pt idx="0">
                  <c:v>Budget</c:v>
                </c:pt>
                <c:pt idx="1">
                  <c:v>Price</c:v>
                </c:pt>
                <c:pt idx="2">
                  <c:v>Volume &amp; mix</c:v>
                </c:pt>
                <c:pt idx="3">
                  <c:v>Material rate</c:v>
                </c:pt>
                <c:pt idx="4">
                  <c:v>Labor rate</c:v>
                </c:pt>
                <c:pt idx="5">
                  <c:v>Freight rate</c:v>
                </c:pt>
                <c:pt idx="6">
                  <c:v>Salaries</c:v>
                </c:pt>
                <c:pt idx="7">
                  <c:v>Marketing</c:v>
                </c:pt>
                <c:pt idx="8">
                  <c:v>Other opex</c:v>
                </c:pt>
                <c:pt idx="9">
                  <c:v>Actual</c:v>
                </c:pt>
              </c:strCache>
            </c:strRef>
          </c:cat>
          <c:val>
            <c:numRef>
              <c:f>'Variance Analysis'!$F$22:$F$31</c:f>
              <c:numCache>
                <c:formatCode>\$#,##0;"($"#,##0\);\-</c:formatCode>
                <c:ptCount val="10"/>
                <c:pt idx="0">
                  <c:v>0</c:v>
                </c:pt>
                <c:pt idx="1">
                  <c:v>14612.0000000007</c:v>
                </c:pt>
                <c:pt idx="2">
                  <c:v>78409.8000000001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64100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3"/>
          <c:order val="3"/>
          <c:tx>
            <c:strRef>
              <c:f>"Unfavorable"</c:f>
              <c:strCache>
                <c:ptCount val="1"/>
                <c:pt idx="0">
                  <c:v>Unfavorable</c:v>
                </c:pt>
              </c:strCache>
            </c:strRef>
          </c:tx>
          <c:spPr>
            <a:solidFill>
              <a:srgbClr val="c62828"/>
            </a:solidFill>
            <a:ln w="0">
              <a:solidFill>
                <a:srgbClr val="c6282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'Variance Analysis'!$H$22:$H$31</c:f>
              <c:strCache>
                <c:ptCount val="10"/>
                <c:pt idx="0">
                  <c:v>Budget</c:v>
                </c:pt>
                <c:pt idx="1">
                  <c:v>Price</c:v>
                </c:pt>
                <c:pt idx="2">
                  <c:v>Volume &amp; mix</c:v>
                </c:pt>
                <c:pt idx="3">
                  <c:v>Material rate</c:v>
                </c:pt>
                <c:pt idx="4">
                  <c:v>Labor rate</c:v>
                </c:pt>
                <c:pt idx="5">
                  <c:v>Freight rate</c:v>
                </c:pt>
                <c:pt idx="6">
                  <c:v>Salaries</c:v>
                </c:pt>
                <c:pt idx="7">
                  <c:v>Marketing</c:v>
                </c:pt>
                <c:pt idx="8">
                  <c:v>Other opex</c:v>
                </c:pt>
                <c:pt idx="9">
                  <c:v>Actual</c:v>
                </c:pt>
              </c:strCache>
            </c:strRef>
          </c:cat>
          <c:val>
            <c:numRef>
              <c:f>'Variance Analysis'!$G$22:$G$31</c:f>
              <c:numCache>
                <c:formatCode>\$#,##0;"($"#,##0\);\-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75298</c:v>
                </c:pt>
                <c:pt idx="4">
                  <c:v>37808</c:v>
                </c:pt>
                <c:pt idx="5">
                  <c:v>99475.8000000001</c:v>
                </c:pt>
                <c:pt idx="6">
                  <c:v>0</c:v>
                </c:pt>
                <c:pt idx="7">
                  <c:v>102756</c:v>
                </c:pt>
                <c:pt idx="8">
                  <c:v>66450</c:v>
                </c:pt>
                <c:pt idx="9">
                  <c:v>0</c:v>
                </c:pt>
              </c:numCache>
            </c:numRef>
          </c:val>
        </c:ser>
        <c:gapWidth val="45"/>
        <c:overlap val="100"/>
        <c:axId val="74691251"/>
        <c:axId val="55047469"/>
      </c:barChart>
      <c:catAx>
        <c:axId val="746912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047469"/>
        <c:crosses val="autoZero"/>
        <c:auto val="1"/>
        <c:lblAlgn val="ctr"/>
        <c:lblOffset val="100"/>
        <c:noMultiLvlLbl val="0"/>
      </c:catAx>
      <c:valAx>
        <c:axId val="55047469"/>
        <c:scaling>
          <c:orientation val="minMax"/>
          <c:min val="1400000"/>
        </c:scaling>
        <c:delete val="0"/>
        <c:axPos val="l"/>
        <c:majorGridlines>
          <c:spPr>
            <a:ln w="6480">
              <a:solidFill>
                <a:srgbClr val="e3e6ec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691251"/>
        <c:crosses val="autoZero"/>
        <c:crossBetween val="between"/>
      </c:valAx>
      <c:spPr>
        <a:noFill/>
        <a:ln w="0">
          <a:noFill/>
        </a:ln>
      </c:spPr>
    </c:plotArea>
    <c:legend>
      <c:legendPos val="b"/>
      <c:legendEntry>
        <c:idx val="0"/>
        <c:delete val="1"/>
      </c:legendEntry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YTD Cost Variance vs. Budget by 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"Favorable"</c:f>
              <c:strCache>
                <c:ptCount val="1"/>
                <c:pt idx="0">
                  <c:v>Favorable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2e7d32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'Variance Analysis'!$A$35:$A$45</c:f>
              <c:strCache>
                <c:ptCount val="11"/>
                <c:pt idx="0">
                  <c:v>Materials</c:v>
                </c:pt>
                <c:pt idx="1">
                  <c:v>Direct Labor</c:v>
                </c:pt>
                <c:pt idx="2">
                  <c:v>Freight &amp; Fulfillment</c:v>
                </c:pt>
                <c:pt idx="3">
                  <c:v>Salaries &amp; Benefits</c:v>
                </c:pt>
                <c:pt idx="4">
                  <c:v>Marketing &amp; Advertising</c:v>
                </c:pt>
                <c:pt idx="5">
                  <c:v>Rent &amp; Utilities</c:v>
                </c:pt>
                <c:pt idx="6">
                  <c:v>Software &amp; IT</c:v>
                </c:pt>
                <c:pt idx="7">
                  <c:v>Professional Fees</c:v>
                </c:pt>
                <c:pt idx="8">
                  <c:v>Travel &amp; Entertainment</c:v>
                </c:pt>
                <c:pt idx="9">
                  <c:v>Insurance</c:v>
                </c:pt>
                <c:pt idx="10">
                  <c:v>Other G&amp;A</c:v>
                </c:pt>
              </c:strCache>
            </c:strRef>
          </c:cat>
          <c:val>
            <c:numRef>
              <c:f>'Variance Analysis'!$D$35:$D$45</c:f>
              <c:numCache>
                <c:formatCode>\$#,##0;"($"#,##0\);\-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64100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25600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1"/>
          <c:order val="1"/>
          <c:tx>
            <c:strRef>
              <c:f>"Unfavorable"</c:f>
              <c:strCache>
                <c:ptCount val="1"/>
                <c:pt idx="0">
                  <c:v>Unfavorable</c:v>
                </c:pt>
              </c:strCache>
            </c:strRef>
          </c:tx>
          <c:spPr>
            <a:solidFill>
              <a:srgbClr val="c62828"/>
            </a:solidFill>
            <a:ln w="0">
              <a:solidFill>
                <a:srgbClr val="c6282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'Variance Analysis'!$A$35:$A$45</c:f>
              <c:strCache>
                <c:ptCount val="11"/>
                <c:pt idx="0">
                  <c:v>Materials</c:v>
                </c:pt>
                <c:pt idx="1">
                  <c:v>Direct Labor</c:v>
                </c:pt>
                <c:pt idx="2">
                  <c:v>Freight &amp; Fulfillment</c:v>
                </c:pt>
                <c:pt idx="3">
                  <c:v>Salaries &amp; Benefits</c:v>
                </c:pt>
                <c:pt idx="4">
                  <c:v>Marketing &amp; Advertising</c:v>
                </c:pt>
                <c:pt idx="5">
                  <c:v>Rent &amp; Utilities</c:v>
                </c:pt>
                <c:pt idx="6">
                  <c:v>Software &amp; IT</c:v>
                </c:pt>
                <c:pt idx="7">
                  <c:v>Professional Fees</c:v>
                </c:pt>
                <c:pt idx="8">
                  <c:v>Travel &amp; Entertainment</c:v>
                </c:pt>
                <c:pt idx="9">
                  <c:v>Insurance</c:v>
                </c:pt>
                <c:pt idx="10">
                  <c:v>Other G&amp;A</c:v>
                </c:pt>
              </c:strCache>
            </c:strRef>
          </c:cat>
          <c:val>
            <c:numRef>
              <c:f>'Variance Analysis'!$E$35:$E$45</c:f>
              <c:numCache>
                <c:formatCode>\$#,##0;"($"#,##0\);\-</c:formatCode>
                <c:ptCount val="11"/>
                <c:pt idx="0">
                  <c:v>-123304</c:v>
                </c:pt>
                <c:pt idx="1">
                  <c:v>-48014</c:v>
                </c:pt>
                <c:pt idx="2">
                  <c:v>-106602</c:v>
                </c:pt>
                <c:pt idx="3">
                  <c:v>0</c:v>
                </c:pt>
                <c:pt idx="4">
                  <c:v>-102756</c:v>
                </c:pt>
                <c:pt idx="5">
                  <c:v>-6300</c:v>
                </c:pt>
                <c:pt idx="6">
                  <c:v>-33970</c:v>
                </c:pt>
                <c:pt idx="7">
                  <c:v>-44800</c:v>
                </c:pt>
                <c:pt idx="8">
                  <c:v>0</c:v>
                </c:pt>
                <c:pt idx="9">
                  <c:v>-2880</c:v>
                </c:pt>
                <c:pt idx="10">
                  <c:v>-4100</c:v>
                </c:pt>
              </c:numCache>
            </c:numRef>
          </c:val>
        </c:ser>
        <c:gapWidth val="50"/>
        <c:overlap val="100"/>
        <c:axId val="2966270"/>
        <c:axId val="16325006"/>
      </c:barChart>
      <c:catAx>
        <c:axId val="296627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325006"/>
        <c:crosses val="autoZero"/>
        <c:auto val="1"/>
        <c:lblAlgn val="ctr"/>
        <c:lblOffset val="100"/>
        <c:noMultiLvlLbl val="0"/>
      </c:catAx>
      <c:valAx>
        <c:axId val="16325006"/>
        <c:scaling>
          <c:orientation val="minMax"/>
        </c:scaling>
        <c:delete val="0"/>
        <c:axPos val="l"/>
        <c:majorGridlines>
          <c:spPr>
            <a:ln w="6480">
              <a:solidFill>
                <a:srgbClr val="e3e6ec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6627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YTD Revenue by Product Line: Budget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"YTD Budget"</c:f>
              <c:strCache>
                <c:ptCount val="1"/>
                <c:pt idx="0">
                  <c:v>YTD Budget</c:v>
                </c:pt>
              </c:strCache>
            </c:strRef>
          </c:tx>
          <c:spPr>
            <a:solidFill>
              <a:srgbClr val="7a8598"/>
            </a:solidFill>
            <a:ln w="0">
              <a:solidFill>
                <a:srgbClr val="7a859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BvA!$A$14:$A$16</c:f>
              <c:strCache>
                <c:ptCount val="3"/>
                <c:pt idx="0">
                  <c:v>Kitchenware</c:v>
                </c:pt>
                <c:pt idx="1">
                  <c:v>Home Textiles</c:v>
                </c:pt>
                <c:pt idx="2">
                  <c:v>Home Decor &amp; Lighting</c:v>
                </c:pt>
              </c:strCache>
            </c:strRef>
          </c:cat>
          <c:val>
            <c:numRef>
              <c:f>BvA!$H$14:$H$16</c:f>
              <c:numCache>
                <c:formatCode>\$#,##0;"($"#,##0\);\-</c:formatCode>
                <c:ptCount val="3"/>
                <c:pt idx="0">
                  <c:v>5745600</c:v>
                </c:pt>
                <c:pt idx="1">
                  <c:v>5187000</c:v>
                </c:pt>
                <c:pt idx="2">
                  <c:v>4389000</c:v>
                </c:pt>
              </c:numCache>
            </c:numRef>
          </c:val>
        </c:ser>
        <c:ser>
          <c:idx val="1"/>
          <c:order val="1"/>
          <c:tx>
            <c:strRef>
              <c:f>"YTD Actual"</c:f>
              <c:strCache>
                <c:ptCount val="1"/>
                <c:pt idx="0">
                  <c:v>YTD Actual</c:v>
                </c:pt>
              </c:strCache>
            </c:strRef>
          </c:tx>
          <c:spPr>
            <a:solidFill>
              <a:srgbClr val="1f5fa8"/>
            </a:solidFill>
            <a:ln w="0">
              <a:solidFill>
                <a:srgbClr val="1f5fa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BvA!$A$14:$A$16</c:f>
              <c:strCache>
                <c:ptCount val="3"/>
                <c:pt idx="0">
                  <c:v>Kitchenware</c:v>
                </c:pt>
                <c:pt idx="1">
                  <c:v>Home Textiles</c:v>
                </c:pt>
                <c:pt idx="2">
                  <c:v>Home Decor &amp; Lighting</c:v>
                </c:pt>
              </c:strCache>
            </c:strRef>
          </c:cat>
          <c:val>
            <c:numRef>
              <c:f>BvA!$I$14:$I$16</c:f>
              <c:numCache>
                <c:formatCode>\$#,##0;"($"#,##0\);\-</c:formatCode>
                <c:ptCount val="3"/>
                <c:pt idx="0">
                  <c:v>5989602</c:v>
                </c:pt>
                <c:pt idx="1">
                  <c:v>4852498</c:v>
                </c:pt>
                <c:pt idx="2">
                  <c:v>4637860</c:v>
                </c:pt>
              </c:numCache>
            </c:numRef>
          </c:val>
        </c:ser>
        <c:gapWidth val="80"/>
        <c:overlap val="-10"/>
        <c:axId val="80313341"/>
        <c:axId val="10870966"/>
      </c:barChart>
      <c:catAx>
        <c:axId val="803133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870966"/>
        <c:crosses val="autoZero"/>
        <c:auto val="1"/>
        <c:lblAlgn val="ctr"/>
        <c:lblOffset val="100"/>
        <c:noMultiLvlLbl val="0"/>
      </c:catAx>
      <c:valAx>
        <c:axId val="10870966"/>
        <c:scaling>
          <c:orientation val="minMax"/>
        </c:scaling>
        <c:delete val="0"/>
        <c:axPos val="l"/>
        <c:majorGridlines>
          <c:spPr>
            <a:ln w="6480">
              <a:solidFill>
                <a:srgbClr val="e3e6ec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31334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131040</xdr:rowOff>
    </xdr:from>
    <xdr:to>
      <xdr:col>6</xdr:col>
      <xdr:colOff>820440</xdr:colOff>
      <xdr:row>22</xdr:row>
      <xdr:rowOff>106560</xdr:rowOff>
    </xdr:to>
    <xdr:graphicFrame>
      <xdr:nvGraphicFramePr>
        <xdr:cNvPr id="0" name="Chart 1"/>
        <xdr:cNvGraphicFramePr/>
      </xdr:nvGraphicFramePr>
      <xdr:xfrm>
        <a:off x="141120" y="1571760"/>
        <a:ext cx="5579640" cy="302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6</xdr:row>
      <xdr:rowOff>131040</xdr:rowOff>
    </xdr:from>
    <xdr:to>
      <xdr:col>12</xdr:col>
      <xdr:colOff>820440</xdr:colOff>
      <xdr:row>22</xdr:row>
      <xdr:rowOff>106560</xdr:rowOff>
    </xdr:to>
    <xdr:graphicFrame>
      <xdr:nvGraphicFramePr>
        <xdr:cNvPr id="1" name="Chart 2"/>
        <xdr:cNvGraphicFramePr/>
      </xdr:nvGraphicFramePr>
      <xdr:xfrm>
        <a:off x="5852160" y="1571760"/>
        <a:ext cx="5579640" cy="302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24</xdr:row>
      <xdr:rowOff>131040</xdr:rowOff>
    </xdr:from>
    <xdr:to>
      <xdr:col>6</xdr:col>
      <xdr:colOff>820440</xdr:colOff>
      <xdr:row>40</xdr:row>
      <xdr:rowOff>106560</xdr:rowOff>
    </xdr:to>
    <xdr:graphicFrame>
      <xdr:nvGraphicFramePr>
        <xdr:cNvPr id="2" name="Chart 3"/>
        <xdr:cNvGraphicFramePr/>
      </xdr:nvGraphicFramePr>
      <xdr:xfrm>
        <a:off x="141120" y="5000760"/>
        <a:ext cx="5579640" cy="302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24</xdr:row>
      <xdr:rowOff>131040</xdr:rowOff>
    </xdr:from>
    <xdr:to>
      <xdr:col>12</xdr:col>
      <xdr:colOff>820440</xdr:colOff>
      <xdr:row>40</xdr:row>
      <xdr:rowOff>106560</xdr:rowOff>
    </xdr:to>
    <xdr:graphicFrame>
      <xdr:nvGraphicFramePr>
        <xdr:cNvPr id="3" name="Chart 4"/>
        <xdr:cNvGraphicFramePr/>
      </xdr:nvGraphicFramePr>
      <xdr:xfrm>
        <a:off x="5852160" y="5000760"/>
        <a:ext cx="5579640" cy="302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42</xdr:row>
      <xdr:rowOff>131040</xdr:rowOff>
    </xdr:from>
    <xdr:to>
      <xdr:col>6</xdr:col>
      <xdr:colOff>820440</xdr:colOff>
      <xdr:row>58</xdr:row>
      <xdr:rowOff>106560</xdr:rowOff>
    </xdr:to>
    <xdr:graphicFrame>
      <xdr:nvGraphicFramePr>
        <xdr:cNvPr id="4" name="Chart 5"/>
        <xdr:cNvGraphicFramePr/>
      </xdr:nvGraphicFramePr>
      <xdr:xfrm>
        <a:off x="141120" y="8429760"/>
        <a:ext cx="5579640" cy="302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im_Account" displayName="dim_Account" ref="A1:F15" headerRowCount="1" totalsRowCount="0" totalsRowShown="0">
  <autoFilter ref="A1:F15"/>
  <tableColumns count="6">
    <tableColumn id="1" name="AccountKey"/>
    <tableColumn id="2" name="Account"/>
    <tableColumn id="3" name="Category"/>
    <tableColumn id="4" name="CategoryName"/>
    <tableColumn id="5" name="CategorySort"/>
    <tableColumn id="6" name="Sign"/>
  </tableColumns>
</table>
</file>

<file path=xl/tables/table2.xml><?xml version="1.0" encoding="utf-8"?>
<table xmlns="http://schemas.openxmlformats.org/spreadsheetml/2006/main" id="2" name="dim_Date" displayName="dim_Date" ref="A1:G13" headerRowCount="1" totalsRowCount="0" totalsRowShown="0">
  <autoFilter ref="A1:G13"/>
  <tableColumns count="7">
    <tableColumn id="1" name="Date"/>
    <tableColumn id="2" name="Year"/>
    <tableColumn id="3" name="MonthNum"/>
    <tableColumn id="4" name="Month"/>
    <tableColumn id="5" name="MonthYear"/>
    <tableColumn id="6" name="Quarter"/>
    <tableColumn id="7" name="IsClosed"/>
  </tableColumns>
</table>
</file>

<file path=xl/tables/table3.xml><?xml version="1.0" encoding="utf-8"?>
<table xmlns="http://schemas.openxmlformats.org/spreadsheetml/2006/main" id="3" name="dim_Product" displayName="dim_Product" ref="A1:B5" headerRowCount="1" totalsRowCount="0" totalsRowShown="0">
  <autoFilter ref="A1:B5"/>
  <tableColumns count="2">
    <tableColumn id="1" name="Product"/>
    <tableColumn id="2" name="ProductSort"/>
  </tableColumns>
</table>
</file>

<file path=xl/tables/table4.xml><?xml version="1.0" encoding="utf-8"?>
<table xmlns="http://schemas.openxmlformats.org/spreadsheetml/2006/main" id="4" name="dim_Scenario" displayName="dim_Scenario" ref="A1:C4" headerRowCount="1" totalsRowCount="0" totalsRowShown="0">
  <autoFilter ref="A1:C4"/>
  <tableColumns count="3">
    <tableColumn id="1" name="Scenario"/>
    <tableColumn id="2" name="ScenarioSort"/>
    <tableColumn id="3" name="Description"/>
  </tableColumns>
</table>
</file>

<file path=xl/tables/table5.xml><?xml version="1.0" encoding="utf-8"?>
<table xmlns="http://schemas.openxmlformats.org/spreadsheetml/2006/main" id="5" name="fact_PnL" displayName="fact_PnL" ref="A1:E463" headerRowCount="1" totalsRowCount="0" totalsRowShown="0">
  <autoFilter ref="A1:E463"/>
  <tableColumns count="5">
    <tableColumn id="1" name="Date"/>
    <tableColumn id="2" name="Scenario"/>
    <tableColumn id="3" name="AccountKey"/>
    <tableColumn id="4" name="Product"/>
    <tableColumn id="5" name="Amount"/>
  </tableColumns>
</table>
</file>

<file path=xl/tables/table6.xml><?xml version="1.0" encoding="utf-8"?>
<table xmlns="http://schemas.openxmlformats.org/spreadsheetml/2006/main" id="6" name="fact_Units" displayName="fact_Units" ref="A1:D100" headerRowCount="1" totalsRowCount="0" totalsRowShown="0">
  <autoFilter ref="A1:D100"/>
  <tableColumns count="4">
    <tableColumn id="1" name="Date"/>
    <tableColumn id="2" name="Scenario"/>
    <tableColumn id="3" name="Product"/>
    <tableColumn id="4" name="Units"/>
  </tableColumns>
</table>
</file>

<file path=xl/tables/table7.xml><?xml version="1.0" encoding="utf-8"?>
<table xmlns="http://schemas.openxmlformats.org/spreadsheetml/2006/main" id="7" name="tbl_Commentary" displayName="tbl_Commentary" ref="A1:E15" headerRowCount="1" totalsRowCount="0" totalsRowShown="0">
  <autoFilter ref="A1:E15"/>
  <tableColumns count="5">
    <tableColumn id="1" name="AccountKey"/>
    <tableColumn id="2" name="Account"/>
    <tableColumn id="3" name="DriverType"/>
    <tableColumn id="4" name="Commentary"/>
    <tableColumn id="5" name="ForecastTreatme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 t="s">
        <v>3</v>
      </c>
    </row>
    <row r="5" customFormat="false" ht="15" hidden="false" customHeight="false" outlineLevel="0" collapsed="false">
      <c r="B5" s="3" t="s">
        <v>4</v>
      </c>
      <c r="C5" s="5" t="s">
        <v>5</v>
      </c>
    </row>
    <row r="7" customFormat="false" ht="23.85" hidden="false" customHeight="false" outlineLevel="0" collapsed="false">
      <c r="B7" s="3" t="s">
        <v>6</v>
      </c>
      <c r="C7" s="6" t="s">
        <v>7</v>
      </c>
    </row>
    <row r="8" customFormat="false" ht="15" hidden="false" customHeight="false" outlineLevel="0" collapsed="false">
      <c r="B8" s="3"/>
      <c r="C8" s="6"/>
    </row>
    <row r="9" customFormat="false" ht="15" hidden="false" customHeight="false" outlineLevel="0" collapsed="false">
      <c r="B9" s="7" t="s">
        <v>8</v>
      </c>
      <c r="C9" s="8" t="s">
        <v>9</v>
      </c>
    </row>
    <row r="10" customFormat="false" ht="15" hidden="false" customHeight="false" outlineLevel="0" collapsed="false">
      <c r="B10" s="3" t="s">
        <v>10</v>
      </c>
      <c r="C10" s="6" t="s">
        <v>11</v>
      </c>
    </row>
    <row r="11" customFormat="false" ht="23.85" hidden="false" customHeight="false" outlineLevel="0" collapsed="false">
      <c r="B11" s="3" t="s">
        <v>12</v>
      </c>
      <c r="C11" s="6" t="s">
        <v>13</v>
      </c>
    </row>
    <row r="12" customFormat="false" ht="15" hidden="false" customHeight="false" outlineLevel="0" collapsed="false">
      <c r="B12" s="3" t="s">
        <v>14</v>
      </c>
      <c r="C12" s="6" t="s">
        <v>15</v>
      </c>
    </row>
    <row r="13" customFormat="false" ht="15" hidden="false" customHeight="false" outlineLevel="0" collapsed="false">
      <c r="B13" s="3" t="s">
        <v>16</v>
      </c>
      <c r="C13" s="6" t="s">
        <v>17</v>
      </c>
    </row>
    <row r="14" customFormat="false" ht="15" hidden="false" customHeight="false" outlineLevel="0" collapsed="false">
      <c r="B14" s="3" t="s">
        <v>18</v>
      </c>
      <c r="C14" s="6" t="s">
        <v>19</v>
      </c>
    </row>
    <row r="15" customFormat="false" ht="15" hidden="false" customHeight="false" outlineLevel="0" collapsed="false">
      <c r="B15" s="3" t="s">
        <v>20</v>
      </c>
      <c r="C15" s="6" t="s">
        <v>21</v>
      </c>
    </row>
    <row r="16" customFormat="false" ht="23.85" hidden="false" customHeight="false" outlineLevel="0" collapsed="false">
      <c r="B16" s="3" t="s">
        <v>22</v>
      </c>
      <c r="C16" s="6" t="s">
        <v>23</v>
      </c>
    </row>
    <row r="17" customFormat="false" ht="15" hidden="false" customHeight="false" outlineLevel="0" collapsed="false">
      <c r="B17" s="3" t="s">
        <v>24</v>
      </c>
      <c r="C17" s="6" t="s">
        <v>25</v>
      </c>
    </row>
    <row r="18" customFormat="false" ht="15" hidden="false" customHeight="false" outlineLevel="0" collapsed="false">
      <c r="B18" s="3" t="s">
        <v>26</v>
      </c>
      <c r="C18" s="6" t="s">
        <v>27</v>
      </c>
    </row>
    <row r="19" customFormat="false" ht="15" hidden="false" customHeight="false" outlineLevel="0" collapsed="false">
      <c r="B19" s="3"/>
      <c r="C19" s="6"/>
    </row>
    <row r="20" customFormat="false" ht="15" hidden="false" customHeight="false" outlineLevel="0" collapsed="false">
      <c r="B20" s="7" t="s">
        <v>28</v>
      </c>
      <c r="C20" s="8"/>
    </row>
    <row r="21" customFormat="false" ht="15" hidden="false" customHeight="false" outlineLevel="0" collapsed="false">
      <c r="B21" s="9" t="s">
        <v>29</v>
      </c>
      <c r="C21" s="6" t="s">
        <v>30</v>
      </c>
    </row>
    <row r="22" customFormat="false" ht="15" hidden="false" customHeight="false" outlineLevel="0" collapsed="false">
      <c r="B22" s="3" t="s">
        <v>31</v>
      </c>
      <c r="C22" s="6" t="s">
        <v>32</v>
      </c>
    </row>
    <row r="23" customFormat="false" ht="15" hidden="false" customHeight="false" outlineLevel="0" collapsed="false">
      <c r="B23" s="10" t="s">
        <v>33</v>
      </c>
      <c r="C23" s="6" t="s">
        <v>34</v>
      </c>
    </row>
    <row r="24" customFormat="false" ht="15" hidden="false" customHeight="false" outlineLevel="0" collapsed="false">
      <c r="B24" s="11" t="s">
        <v>35</v>
      </c>
      <c r="C24" s="6" t="s">
        <v>36</v>
      </c>
    </row>
    <row r="25" customFormat="false" ht="15" hidden="false" customHeight="false" outlineLevel="0" collapsed="false">
      <c r="B25" s="3"/>
      <c r="C25" s="6"/>
    </row>
    <row r="26" customFormat="false" ht="15" hidden="false" customHeight="false" outlineLevel="0" collapsed="false">
      <c r="B26" s="7" t="s">
        <v>37</v>
      </c>
      <c r="C26" s="8"/>
    </row>
    <row r="27" customFormat="false" ht="23.85" hidden="false" customHeight="false" outlineLevel="0" collapsed="false">
      <c r="B27" s="3" t="s">
        <v>38</v>
      </c>
      <c r="C27" s="6" t="s">
        <v>39</v>
      </c>
    </row>
    <row r="28" customFormat="false" ht="23.85" hidden="false" customHeight="false" outlineLevel="0" collapsed="false">
      <c r="B28" s="3" t="s">
        <v>40</v>
      </c>
      <c r="C28" s="6" t="s">
        <v>41</v>
      </c>
    </row>
    <row r="29" customFormat="false" ht="23.85" hidden="false" customHeight="false" outlineLevel="0" collapsed="false">
      <c r="B29" s="3" t="s">
        <v>42</v>
      </c>
      <c r="C29" s="6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M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3.5"/>
  </cols>
  <sheetData>
    <row r="1" customFormat="false" ht="19.7" hidden="false" customHeight="false" outlineLevel="0" collapsed="false">
      <c r="B1" s="1" t="s">
        <v>44</v>
      </c>
    </row>
    <row r="2" customFormat="false" ht="15" hidden="false" customHeight="false" outlineLevel="0" collapsed="false">
      <c r="B2" s="12" t="str">
        <f aca="false">"Budget vs. Actual, YTD through "&amp;BvA!B3&amp;"-26  |  Full-year outlook: 9+3 forecast  |  Fictional company"</f>
        <v>Budget vs. Actual, YTD through Sep-26  |  Full-year outlook: 9+3 forecast  |  Fictional company</v>
      </c>
    </row>
    <row r="4" customFormat="false" ht="15" hidden="false" customHeight="false" outlineLevel="0" collapsed="false">
      <c r="B4" s="13" t="s">
        <v>45</v>
      </c>
      <c r="C4" s="13"/>
      <c r="D4" s="13" t="s">
        <v>46</v>
      </c>
      <c r="E4" s="13"/>
      <c r="F4" s="13" t="s">
        <v>47</v>
      </c>
      <c r="G4" s="13"/>
      <c r="H4" s="13" t="s">
        <v>48</v>
      </c>
      <c r="I4" s="13"/>
      <c r="J4" s="13" t="s">
        <v>49</v>
      </c>
      <c r="K4" s="13"/>
      <c r="L4" s="13" t="s">
        <v>50</v>
      </c>
      <c r="M4" s="13"/>
    </row>
    <row r="5" customFormat="false" ht="33.75" hidden="false" customHeight="true" outlineLevel="0" collapsed="false">
      <c r="B5" s="14" t="n">
        <f aca="false">BvA!$I$17</f>
        <v>15479960</v>
      </c>
      <c r="C5" s="14"/>
      <c r="D5" s="15" t="n">
        <f aca="false">BvA!$I$25</f>
        <v>0.463242023881199</v>
      </c>
      <c r="E5" s="15"/>
      <c r="F5" s="14" t="n">
        <f aca="false">BvA!$I$37</f>
        <v>1532618</v>
      </c>
      <c r="G5" s="14"/>
      <c r="H5" s="15" t="n">
        <f aca="false">BvA!$I$38</f>
        <v>0.0990065865803271</v>
      </c>
      <c r="I5" s="15"/>
      <c r="J5" s="14" t="n">
        <f aca="false">BvA!$P$17</f>
        <v>23440685.6</v>
      </c>
      <c r="K5" s="14"/>
      <c r="L5" s="14" t="n">
        <f aca="false">BvA!$P$37</f>
        <v>3060196.2848</v>
      </c>
      <c r="M5" s="14"/>
    </row>
    <row r="6" customFormat="false" ht="15" hidden="false" customHeight="false" outlineLevel="0" collapsed="false">
      <c r="B6" s="16" t="str">
        <f aca="false">TEXT(BvA!$K$17,"+0.0%;-0.0%")&amp;" vs. budget"</f>
        <v>+1.0% vs. budget</v>
      </c>
      <c r="C6" s="16"/>
      <c r="D6" s="16" t="str">
        <f aca="false">TEXT(BvA!$J$25*100,"+0.0;-0.0")&amp;" pts vs. budget"</f>
        <v>-1.3 pts vs. budget</v>
      </c>
      <c r="E6" s="16"/>
      <c r="F6" s="16" t="str">
        <f aca="false">TEXT(BvA!$K$37,"+0.0%;-0.0%")&amp;" vs. budget"</f>
        <v>-12.8% vs. budget</v>
      </c>
      <c r="G6" s="16"/>
      <c r="H6" s="16" t="str">
        <f aca="false">TEXT(BvA!$J$38*100,"+0.0;-0.0")&amp;" pts vs. budget"</f>
        <v>-1.6 pts vs. budget</v>
      </c>
      <c r="I6" s="16"/>
      <c r="J6" s="16" t="str">
        <f aca="false">TEXT(BvA!$R$17,"+0.0%;-0.0%")&amp;" vs. budget"</f>
        <v>+1.7% vs. budget</v>
      </c>
      <c r="K6" s="16"/>
      <c r="L6" s="16" t="str">
        <f aca="false">TEXT(BvA!$R$37,"+0.0%;-0.0%")&amp;" vs. budget"</f>
        <v>-8.8% vs. budget</v>
      </c>
      <c r="M6" s="16"/>
    </row>
    <row r="44" customFormat="false" ht="15" hidden="false" customHeight="false" outlineLevel="0" collapsed="false">
      <c r="H44" s="7" t="s">
        <v>51</v>
      </c>
      <c r="I44" s="17"/>
      <c r="J44" s="17"/>
      <c r="K44" s="17"/>
      <c r="L44" s="17"/>
      <c r="M44" s="17"/>
    </row>
    <row r="45" customFormat="false" ht="15" hidden="false" customHeight="false" outlineLevel="0" collapsed="false">
      <c r="H45" s="18" t="str">
        <f aca="false">Commentary!A5</f>
        <v>YTD revenue of $15,479,960 is 1.0% ahead of budget ($158,360). Price contributed $14,612 and volume/mix $143,748.</v>
      </c>
      <c r="I45" s="18"/>
      <c r="J45" s="18"/>
      <c r="K45" s="18"/>
      <c r="L45" s="18"/>
      <c r="M45" s="18"/>
    </row>
    <row r="46" customFormat="false" ht="15" hidden="false" customHeight="false" outlineLevel="0" collapsed="false">
      <c r="H46" s="18"/>
      <c r="I46" s="18"/>
      <c r="J46" s="18"/>
      <c r="K46" s="18"/>
      <c r="L46" s="18"/>
      <c r="M46" s="18"/>
    </row>
    <row r="47" customFormat="false" ht="15" hidden="false" customHeight="false" outlineLevel="0" collapsed="false">
      <c r="H47" s="18"/>
      <c r="I47" s="18"/>
      <c r="J47" s="18"/>
      <c r="K47" s="18"/>
      <c r="L47" s="18"/>
      <c r="M47" s="18"/>
    </row>
    <row r="48" customFormat="false" ht="15" hidden="false" customHeight="false" outlineLevel="0" collapsed="false">
      <c r="H48" s="18"/>
      <c r="I48" s="18"/>
      <c r="J48" s="18"/>
      <c r="K48" s="18"/>
      <c r="L48" s="18"/>
      <c r="M48" s="18"/>
    </row>
    <row r="49" customFormat="false" ht="15" hidden="false" customHeight="false" outlineLevel="0" collapsed="false">
      <c r="H49" s="18" t="str">
        <f aca="false">Commentary!A6</f>
        <v>YTD EBITDA of $1,532,618 is $224,666 (12.8%) below budget; EBITDA margin is 9.9% vs. 11.5% budgeted.</v>
      </c>
      <c r="I49" s="18"/>
      <c r="J49" s="18"/>
      <c r="K49" s="18"/>
      <c r="L49" s="18"/>
      <c r="M49" s="18"/>
    </row>
    <row r="50" customFormat="false" ht="15" hidden="false" customHeight="false" outlineLevel="0" collapsed="false">
      <c r="H50" s="18"/>
      <c r="I50" s="18"/>
      <c r="J50" s="18"/>
      <c r="K50" s="18"/>
      <c r="L50" s="18"/>
      <c r="M50" s="18"/>
    </row>
    <row r="51" customFormat="false" ht="15" hidden="false" customHeight="false" outlineLevel="0" collapsed="false">
      <c r="H51" s="18"/>
      <c r="I51" s="18"/>
      <c r="J51" s="18"/>
      <c r="K51" s="18"/>
      <c r="L51" s="18"/>
      <c r="M51" s="18"/>
    </row>
    <row r="52" customFormat="false" ht="15" hidden="false" customHeight="false" outlineLevel="0" collapsed="false">
      <c r="H52" s="18"/>
      <c r="I52" s="18"/>
      <c r="J52" s="18"/>
      <c r="K52" s="18"/>
      <c r="L52" s="18"/>
      <c r="M52" s="18"/>
    </row>
    <row r="53" customFormat="false" ht="15" hidden="false" customHeight="false" outlineLevel="0" collapsed="false">
      <c r="H53" s="18" t="str">
        <f aca="false">Commentary!A7</f>
        <v>Gross margin of 46.3% compares with 47.6% in budget. COGS rate effects cost $212,582 (materials, overtime, freight) after adjusting for volume.</v>
      </c>
      <c r="I53" s="18"/>
      <c r="J53" s="18"/>
      <c r="K53" s="18"/>
      <c r="L53" s="18"/>
      <c r="M53" s="18"/>
    </row>
    <row r="54" customFormat="false" ht="15" hidden="false" customHeight="false" outlineLevel="0" collapsed="false">
      <c r="H54" s="18"/>
      <c r="I54" s="18"/>
      <c r="J54" s="18"/>
      <c r="K54" s="18"/>
      <c r="L54" s="18"/>
      <c r="M54" s="18"/>
    </row>
    <row r="55" customFormat="false" ht="15" hidden="false" customHeight="false" outlineLevel="0" collapsed="false">
      <c r="H55" s="18"/>
      <c r="I55" s="18"/>
      <c r="J55" s="18"/>
      <c r="K55" s="18"/>
      <c r="L55" s="18"/>
      <c r="M55" s="18"/>
    </row>
    <row r="56" customFormat="false" ht="15" hidden="false" customHeight="false" outlineLevel="0" collapsed="false">
      <c r="H56" s="18"/>
      <c r="I56" s="18"/>
      <c r="J56" s="18"/>
      <c r="K56" s="18"/>
      <c r="L56" s="18"/>
      <c r="M56" s="18"/>
    </row>
    <row r="57" customFormat="false" ht="15" hidden="false" customHeight="false" outlineLevel="0" collapsed="false">
      <c r="H57" s="18" t="str">
        <f aca="false">Commentary!A8</f>
        <v>Full-year outlook (9+3): revenue $23,440,686 vs. budget $23,040,000; EBITDA $3,060,196 vs. budget $3,353,650 (-8.8%).</v>
      </c>
      <c r="I57" s="18"/>
      <c r="J57" s="18"/>
      <c r="K57" s="18"/>
      <c r="L57" s="18"/>
      <c r="M57" s="18"/>
    </row>
    <row r="58" customFormat="false" ht="15" hidden="false" customHeight="false" outlineLevel="0" collapsed="false">
      <c r="H58" s="18"/>
      <c r="I58" s="18"/>
      <c r="J58" s="18"/>
      <c r="K58" s="18"/>
      <c r="L58" s="18"/>
      <c r="M58" s="18"/>
    </row>
    <row r="59" customFormat="false" ht="15" hidden="false" customHeight="false" outlineLevel="0" collapsed="false">
      <c r="H59" s="18"/>
      <c r="I59" s="18"/>
      <c r="J59" s="18"/>
      <c r="K59" s="18"/>
      <c r="L59" s="18"/>
      <c r="M59" s="18"/>
    </row>
    <row r="60" customFormat="false" ht="15" hidden="false" customHeight="false" outlineLevel="0" collapsed="false">
      <c r="H60" s="18"/>
      <c r="I60" s="18"/>
      <c r="J60" s="18"/>
      <c r="K60" s="18"/>
      <c r="L60" s="18"/>
      <c r="M60" s="18"/>
    </row>
    <row r="62" customFormat="false" ht="15" hidden="false" customHeight="false" outlineLevel="0" collapsed="false">
      <c r="B62" s="2" t="s">
        <v>52</v>
      </c>
    </row>
  </sheetData>
  <mergeCells count="22"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H45:M48"/>
    <mergeCell ref="H49:M52"/>
    <mergeCell ref="H53:M56"/>
    <mergeCell ref="H57:M60"/>
  </mergeCells>
  <conditionalFormatting sqref="B6">
    <cfRule type="expression" priority="2" aboveAverage="0" equalAverage="0" bottom="0" percent="0" rank="0" text="" dxfId="0">
      <formula>BvA!$J$17&lt;0</formula>
    </cfRule>
    <cfRule type="expression" priority="3" aboveAverage="0" equalAverage="0" bottom="0" percent="0" rank="0" text="" dxfId="1">
      <formula>BvA!$J$17&gt;=0</formula>
    </cfRule>
  </conditionalFormatting>
  <conditionalFormatting sqref="D6">
    <cfRule type="expression" priority="4" aboveAverage="0" equalAverage="0" bottom="0" percent="0" rank="0" text="" dxfId="0">
      <formula>BvA!$J$25&lt;0</formula>
    </cfRule>
    <cfRule type="expression" priority="5" aboveAverage="0" equalAverage="0" bottom="0" percent="0" rank="0" text="" dxfId="1">
      <formula>BvA!$J$25&gt;=0</formula>
    </cfRule>
  </conditionalFormatting>
  <conditionalFormatting sqref="F6">
    <cfRule type="expression" priority="6" aboveAverage="0" equalAverage="0" bottom="0" percent="0" rank="0" text="" dxfId="0">
      <formula>BvA!$J$37&lt;0</formula>
    </cfRule>
    <cfRule type="expression" priority="7" aboveAverage="0" equalAverage="0" bottom="0" percent="0" rank="0" text="" dxfId="1">
      <formula>BvA!$J$37&gt;=0</formula>
    </cfRule>
  </conditionalFormatting>
  <conditionalFormatting sqref="H6">
    <cfRule type="expression" priority="8" aboveAverage="0" equalAverage="0" bottom="0" percent="0" rank="0" text="" dxfId="0">
      <formula>BvA!$J$38&lt;0</formula>
    </cfRule>
    <cfRule type="expression" priority="9" aboveAverage="0" equalAverage="0" bottom="0" percent="0" rank="0" text="" dxfId="1">
      <formula>BvA!$J$38&gt;=0</formula>
    </cfRule>
  </conditionalFormatting>
  <conditionalFormatting sqref="J6">
    <cfRule type="expression" priority="10" aboveAverage="0" equalAverage="0" bottom="0" percent="0" rank="0" text="" dxfId="0">
      <formula>BvA!$Q$17&lt;0</formula>
    </cfRule>
    <cfRule type="expression" priority="11" aboveAverage="0" equalAverage="0" bottom="0" percent="0" rank="0" text="" dxfId="1">
      <formula>BvA!$Q$17&gt;=0</formula>
    </cfRule>
  </conditionalFormatting>
  <conditionalFormatting sqref="L6">
    <cfRule type="expression" priority="12" aboveAverage="0" equalAverage="0" bottom="0" percent="0" rank="0" text="" dxfId="0">
      <formula>BvA!$Q$37&lt;0</formula>
    </cfRule>
    <cfRule type="expression" priority="13" aboveAverage="0" equalAverage="0" bottom="0" percent="0" rank="0" text="" dxfId="1">
      <formula>BvA!$Q$37&gt;=0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FA8"/>
    <pageSetUpPr fitToPage="true"/>
  </sheetPr>
  <dimension ref="A1:S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2.5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2"/>
    <col collapsed="false" customWidth="true" hidden="false" outlineLevel="0" max="9" min="8" style="0" width="13"/>
    <col collapsed="false" customWidth="true" hidden="false" outlineLevel="0" max="10" min="10" style="0" width="12.5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2"/>
    <col collapsed="false" customWidth="true" hidden="false" outlineLevel="0" max="16" min="15" style="0" width="13.5"/>
    <col collapsed="false" customWidth="true" hidden="false" outlineLevel="0" max="17" min="17" style="0" width="12.5"/>
    <col collapsed="false" customWidth="true" hidden="false" outlineLevel="0" max="18" min="18" style="0" width="9"/>
    <col collapsed="false" customWidth="true" hidden="false" outlineLevel="0" max="19" min="19" style="0" width="10"/>
  </cols>
  <sheetData>
    <row r="1" customFormat="false" ht="17.35" hidden="false" customHeight="false" outlineLevel="0" collapsed="false">
      <c r="A1" s="19" t="s">
        <v>53</v>
      </c>
    </row>
    <row r="2" customFormat="false" ht="15" hidden="false" customHeight="false" outlineLevel="0" collapsed="false">
      <c r="A2" s="2" t="s">
        <v>54</v>
      </c>
    </row>
    <row r="3" customFormat="false" ht="15" hidden="false" customHeight="false" outlineLevel="0" collapsed="false">
      <c r="A3" s="3" t="s">
        <v>55</v>
      </c>
      <c r="B3" s="20" t="s">
        <v>56</v>
      </c>
      <c r="C3" s="21" t="n">
        <f aca="false">MATCH(B3&amp;"-26",Assumptions!$B$16:$M$16,0)</f>
        <v>9</v>
      </c>
      <c r="D3" s="22" t="str">
        <f aca="false">IF(C3&gt;Assumptions!$B$6,"Month not closed yet: pick a closed month","Month # (helper)")</f>
        <v>Month # (helper)</v>
      </c>
    </row>
    <row r="5" customFormat="false" ht="15" hidden="false" customHeight="true" outlineLevel="0" collapsed="false">
      <c r="A5" s="23"/>
      <c r="B5" s="24" t="str">
        <f aca="false">B3&amp;"-26 (Month)"</f>
        <v>Sep-26 (Month)</v>
      </c>
      <c r="C5" s="24"/>
      <c r="D5" s="24"/>
      <c r="E5" s="24"/>
      <c r="F5" s="24"/>
      <c r="H5" s="24" t="str">
        <f aca="false">"YTD through "&amp;B3&amp;"-26"</f>
        <v>YTD through Sep-26</v>
      </c>
      <c r="I5" s="24"/>
      <c r="J5" s="24"/>
      <c r="K5" s="24"/>
      <c r="L5" s="24"/>
      <c r="M5" s="24"/>
      <c r="O5" s="24" t="s">
        <v>57</v>
      </c>
      <c r="P5" s="24"/>
      <c r="Q5" s="24"/>
      <c r="R5" s="24"/>
      <c r="S5" s="24"/>
    </row>
    <row r="6" customFormat="false" ht="15" hidden="false" customHeight="false" outlineLevel="0" collapsed="false">
      <c r="A6" s="25" t="s">
        <v>58</v>
      </c>
      <c r="B6" s="23" t="s">
        <v>20</v>
      </c>
      <c r="C6" s="23" t="s">
        <v>59</v>
      </c>
      <c r="D6" s="23" t="s">
        <v>60</v>
      </c>
      <c r="E6" s="23" t="s">
        <v>61</v>
      </c>
      <c r="F6" s="23" t="s">
        <v>62</v>
      </c>
      <c r="H6" s="23" t="s">
        <v>20</v>
      </c>
      <c r="I6" s="23" t="s">
        <v>59</v>
      </c>
      <c r="J6" s="23" t="s">
        <v>60</v>
      </c>
      <c r="K6" s="23" t="s">
        <v>61</v>
      </c>
      <c r="L6" s="23" t="s">
        <v>62</v>
      </c>
      <c r="M6" s="23" t="s">
        <v>63</v>
      </c>
      <c r="O6" s="23" t="s">
        <v>20</v>
      </c>
      <c r="P6" s="23" t="s">
        <v>64</v>
      </c>
      <c r="Q6" s="23" t="s">
        <v>60</v>
      </c>
      <c r="R6" s="23" t="s">
        <v>61</v>
      </c>
      <c r="S6" s="23" t="s">
        <v>62</v>
      </c>
    </row>
    <row r="7" customFormat="false" ht="15" hidden="false" customHeight="false" outlineLevel="0" collapsed="false">
      <c r="A7" s="26" t="s">
        <v>65</v>
      </c>
      <c r="B7" s="27"/>
      <c r="C7" s="27"/>
      <c r="D7" s="27"/>
      <c r="E7" s="27"/>
      <c r="F7" s="27"/>
      <c r="H7" s="27"/>
      <c r="I7" s="27"/>
      <c r="J7" s="27"/>
      <c r="K7" s="27"/>
      <c r="L7" s="27"/>
      <c r="M7" s="27"/>
      <c r="O7" s="27"/>
      <c r="P7" s="27"/>
      <c r="Q7" s="27"/>
      <c r="R7" s="27"/>
      <c r="S7" s="27"/>
    </row>
    <row r="8" customFormat="false" ht="15" hidden="false" customHeight="false" outlineLevel="0" collapsed="false">
      <c r="A8" s="28" t="s">
        <v>66</v>
      </c>
      <c r="B8" s="29" t="n">
        <f aca="false">INDEX(Budget!$B6:$M6,$C$3)</f>
        <v>15300</v>
      </c>
      <c r="C8" s="29" t="n">
        <f aca="false">INDEX(Actuals!$B6:$M6,$C$3)</f>
        <v>16677</v>
      </c>
      <c r="D8" s="30" t="n">
        <f aca="false">C8-B8</f>
        <v>1377</v>
      </c>
      <c r="E8" s="31" t="n">
        <f aca="false">IF(B8=0,0,D8/ABS(B8))</f>
        <v>0.09</v>
      </c>
      <c r="F8" s="32" t="str">
        <f aca="false">IF(ABS(E8)&lt;0.005,"On plan",IF(D8&gt;0,"Fav","Unfav"))</f>
        <v>Fav</v>
      </c>
      <c r="H8" s="29" t="n">
        <f aca="false">SUMPRODUCT((Budget!$B$3:$M$3&lt;=$C$3)*Budget!$B6:$M6)</f>
        <v>119700</v>
      </c>
      <c r="I8" s="29" t="n">
        <f aca="false">SUMPRODUCT((Actuals!$B$3:$M$3&lt;=$C$3)*Actuals!$B6:$M6)</f>
        <v>127296</v>
      </c>
      <c r="J8" s="30" t="n">
        <f aca="false">I8-H8</f>
        <v>7596</v>
      </c>
      <c r="K8" s="31" t="n">
        <f aca="false">IF(H8=0,0,J8/ABS(H8))</f>
        <v>0.0634586466165414</v>
      </c>
      <c r="L8" s="32" t="str">
        <f aca="false">IF(ABS(K8)&lt;0.005,"On plan",IF(J8&gt;0,"Fav","Unfav"))</f>
        <v>Fav</v>
      </c>
      <c r="M8" s="33" t="str">
        <f aca="false">IF(AND(ABS(K8)&gt;=Assumptions!$B$7,ABS(J8)&gt;=Assumptions!$B$8),"Explain","")</f>
        <v/>
      </c>
      <c r="O8" s="29" t="n">
        <f aca="false">Budget!$N6</f>
        <v>180000</v>
      </c>
      <c r="P8" s="29" t="n">
        <f aca="false">Forecast!$N6</f>
        <v>192420</v>
      </c>
      <c r="Q8" s="30" t="n">
        <f aca="false">P8-O8</f>
        <v>12420</v>
      </c>
      <c r="R8" s="31" t="n">
        <f aca="false">IF(O8=0,0,Q8/ABS(O8))</f>
        <v>0.069</v>
      </c>
      <c r="S8" s="32" t="str">
        <f aca="false">IF(ABS(R8)&lt;0.005,"On plan",IF(Q8&gt;0,"Fav","Unfav"))</f>
        <v>Fav</v>
      </c>
    </row>
    <row r="9" customFormat="false" ht="15" hidden="false" customHeight="false" outlineLevel="0" collapsed="false">
      <c r="A9" s="28" t="s">
        <v>67</v>
      </c>
      <c r="B9" s="29" t="n">
        <f aca="false">INDEX(Budget!$B7:$M7,$C$3)</f>
        <v>10200</v>
      </c>
      <c r="C9" s="29" t="n">
        <f aca="false">INDEX(Actuals!$B7:$M7,$C$3)</f>
        <v>9894</v>
      </c>
      <c r="D9" s="30" t="n">
        <f aca="false">C9-B9</f>
        <v>-306</v>
      </c>
      <c r="E9" s="31" t="n">
        <f aca="false">IF(B9=0,0,D9/ABS(B9))</f>
        <v>-0.03</v>
      </c>
      <c r="F9" s="32" t="str">
        <f aca="false">IF(ABS(E9)&lt;0.005,"On plan",IF(D9&gt;0,"Fav","Unfav"))</f>
        <v>Unfav</v>
      </c>
      <c r="H9" s="29" t="n">
        <f aca="false">SUMPRODUCT((Budget!$B$3:$M$3&lt;=$C$3)*Budget!$B7:$M7)</f>
        <v>79800</v>
      </c>
      <c r="I9" s="29" t="n">
        <f aca="false">SUMPRODUCT((Actuals!$B$3:$M$3&lt;=$C$3)*Actuals!$B7:$M7)</f>
        <v>74544</v>
      </c>
      <c r="J9" s="30" t="n">
        <f aca="false">I9-H9</f>
        <v>-5256</v>
      </c>
      <c r="K9" s="31" t="n">
        <f aca="false">IF(H9=0,0,J9/ABS(H9))</f>
        <v>-0.0658646616541353</v>
      </c>
      <c r="L9" s="32" t="str">
        <f aca="false">IF(ABS(K9)&lt;0.005,"On plan",IF(J9&gt;0,"Fav","Unfav"))</f>
        <v>Unfav</v>
      </c>
      <c r="M9" s="33" t="str">
        <f aca="false">IF(AND(ABS(K9)&gt;=Assumptions!$B$7,ABS(J9)&gt;=Assumptions!$B$8),"Explain","")</f>
        <v/>
      </c>
      <c r="O9" s="29" t="n">
        <f aca="false">Budget!$N7</f>
        <v>120000</v>
      </c>
      <c r="P9" s="29" t="n">
        <f aca="false">Forecast!$N7</f>
        <v>113136</v>
      </c>
      <c r="Q9" s="30" t="n">
        <f aca="false">P9-O9</f>
        <v>-6864</v>
      </c>
      <c r="R9" s="31" t="n">
        <f aca="false">IF(O9=0,0,Q9/ABS(O9))</f>
        <v>-0.0572</v>
      </c>
      <c r="S9" s="32" t="str">
        <f aca="false">IF(ABS(R9)&lt;0.005,"On plan",IF(Q9&gt;0,"Fav","Unfav"))</f>
        <v>Unfav</v>
      </c>
    </row>
    <row r="10" customFormat="false" ht="15" hidden="false" customHeight="false" outlineLevel="0" collapsed="false">
      <c r="A10" s="28" t="s">
        <v>68</v>
      </c>
      <c r="B10" s="29" t="n">
        <f aca="false">INDEX(Budget!$B8:$M8,$C$3)</f>
        <v>5100</v>
      </c>
      <c r="C10" s="29" t="n">
        <f aca="false">INDEX(Actuals!$B8:$M8,$C$3)</f>
        <v>5304</v>
      </c>
      <c r="D10" s="30" t="n">
        <f aca="false">C10-B10</f>
        <v>204</v>
      </c>
      <c r="E10" s="31" t="n">
        <f aca="false">IF(B10=0,0,D10/ABS(B10))</f>
        <v>0.04</v>
      </c>
      <c r="F10" s="32" t="str">
        <f aca="false">IF(ABS(E10)&lt;0.005,"On plan",IF(D10&gt;0,"Fav","Unfav"))</f>
        <v>Fav</v>
      </c>
      <c r="H10" s="29" t="n">
        <f aca="false">SUMPRODUCT((Budget!$B$3:$M$3&lt;=$C$3)*Budget!$B8:$M8)</f>
        <v>39900</v>
      </c>
      <c r="I10" s="29" t="n">
        <f aca="false">SUMPRODUCT((Actuals!$B$3:$M$3&lt;=$C$3)*Actuals!$B8:$M8)</f>
        <v>40998</v>
      </c>
      <c r="J10" s="30" t="n">
        <f aca="false">I10-H10</f>
        <v>1098</v>
      </c>
      <c r="K10" s="31" t="n">
        <f aca="false">IF(H10=0,0,J10/ABS(H10))</f>
        <v>0.0275187969924812</v>
      </c>
      <c r="L10" s="32" t="str">
        <f aca="false">IF(ABS(K10)&lt;0.005,"On plan",IF(J10&gt;0,"Fav","Unfav"))</f>
        <v>Fav</v>
      </c>
      <c r="M10" s="33" t="str">
        <f aca="false">IF(AND(ABS(K10)&gt;=Assumptions!$B$7,ABS(J10)&gt;=Assumptions!$B$8),"Explain","")</f>
        <v/>
      </c>
      <c r="O10" s="29" t="n">
        <f aca="false">Budget!$N8</f>
        <v>60000</v>
      </c>
      <c r="P10" s="29" t="n">
        <f aca="false">Forecast!$N8</f>
        <v>61902</v>
      </c>
      <c r="Q10" s="30" t="n">
        <f aca="false">P10-O10</f>
        <v>1902</v>
      </c>
      <c r="R10" s="31" t="n">
        <f aca="false">IF(O10=0,0,Q10/ABS(O10))</f>
        <v>0.0317</v>
      </c>
      <c r="S10" s="32" t="str">
        <f aca="false">IF(ABS(R10)&lt;0.005,"On plan",IF(Q10&gt;0,"Fav","Unfav"))</f>
        <v>Fav</v>
      </c>
    </row>
    <row r="11" customFormat="false" ht="15" hidden="false" customHeight="false" outlineLevel="0" collapsed="false">
      <c r="A11" s="3" t="s">
        <v>69</v>
      </c>
      <c r="B11" s="34" t="n">
        <f aca="false">INDEX(Budget!$B9:$M9,$C$3)</f>
        <v>30600</v>
      </c>
      <c r="C11" s="34" t="n">
        <f aca="false">INDEX(Actuals!$B9:$M9,$C$3)</f>
        <v>31875</v>
      </c>
      <c r="D11" s="35" t="n">
        <f aca="false">C11-B11</f>
        <v>1275</v>
      </c>
      <c r="E11" s="36" t="n">
        <f aca="false">IF(B11=0,0,D11/ABS(B11))</f>
        <v>0.0416666666666667</v>
      </c>
      <c r="F11" s="37" t="str">
        <f aca="false">IF(ABS(E11)&lt;0.005,"On plan",IF(D11&gt;0,"Fav","Unfav"))</f>
        <v>Fav</v>
      </c>
      <c r="H11" s="34" t="n">
        <f aca="false">SUMPRODUCT((Budget!$B$3:$M$3&lt;=$C$3)*Budget!$B9:$M9)</f>
        <v>239400</v>
      </c>
      <c r="I11" s="34" t="n">
        <f aca="false">SUMPRODUCT((Actuals!$B$3:$M$3&lt;=$C$3)*Actuals!$B9:$M9)</f>
        <v>242838</v>
      </c>
      <c r="J11" s="35" t="n">
        <f aca="false">I11-H11</f>
        <v>3438</v>
      </c>
      <c r="K11" s="36" t="n">
        <f aca="false">IF(H11=0,0,J11/ABS(H11))</f>
        <v>0.0143609022556391</v>
      </c>
      <c r="L11" s="37" t="str">
        <f aca="false">IF(ABS(K11)&lt;0.005,"On plan",IF(J11&gt;0,"Fav","Unfav"))</f>
        <v>Fav</v>
      </c>
      <c r="M11" s="38" t="str">
        <f aca="false">IF(AND(ABS(K11)&gt;=Assumptions!$B$7,ABS(J11)&gt;=Assumptions!$B$8),"Explain","")</f>
        <v/>
      </c>
      <c r="O11" s="34" t="n">
        <f aca="false">Budget!$N9</f>
        <v>360000</v>
      </c>
      <c r="P11" s="34" t="n">
        <f aca="false">Forecast!$N9</f>
        <v>367458</v>
      </c>
      <c r="Q11" s="35" t="n">
        <f aca="false">P11-O11</f>
        <v>7458</v>
      </c>
      <c r="R11" s="36" t="n">
        <f aca="false">IF(O11=0,0,Q11/ABS(O11))</f>
        <v>0.0207166666666667</v>
      </c>
      <c r="S11" s="37" t="str">
        <f aca="false">IF(ABS(R11)&lt;0.005,"On plan",IF(Q11&gt;0,"Fav","Unfav"))</f>
        <v>Fav</v>
      </c>
    </row>
    <row r="13" customFormat="false" ht="15" hidden="false" customHeight="false" outlineLevel="0" collapsed="false">
      <c r="A13" s="26" t="s">
        <v>70</v>
      </c>
      <c r="B13" s="27"/>
      <c r="C13" s="27"/>
      <c r="D13" s="27"/>
      <c r="E13" s="27"/>
      <c r="F13" s="27"/>
      <c r="H13" s="27"/>
      <c r="I13" s="27"/>
      <c r="J13" s="27"/>
      <c r="K13" s="27"/>
      <c r="L13" s="27"/>
      <c r="M13" s="27"/>
      <c r="O13" s="27"/>
      <c r="P13" s="27"/>
      <c r="Q13" s="27"/>
      <c r="R13" s="27"/>
      <c r="S13" s="27"/>
    </row>
    <row r="14" customFormat="false" ht="15" hidden="false" customHeight="false" outlineLevel="0" collapsed="false">
      <c r="A14" s="28" t="s">
        <v>66</v>
      </c>
      <c r="B14" s="39" t="n">
        <f aca="false">INDEX(Budget!$B12:$M12,$C$3)</f>
        <v>734400</v>
      </c>
      <c r="C14" s="39" t="n">
        <f aca="false">INDEX(Actuals!$B12:$M12,$C$3)</f>
        <v>784486</v>
      </c>
      <c r="D14" s="40" t="n">
        <f aca="false">C14-B14</f>
        <v>50086</v>
      </c>
      <c r="E14" s="31" t="n">
        <f aca="false">IF(B14=0,0,D14/ABS(B14))</f>
        <v>0.0681998910675381</v>
      </c>
      <c r="F14" s="32" t="str">
        <f aca="false">IF(ABS(E14)&lt;0.005,"On plan",IF(D14&gt;0,"Fav","Unfav"))</f>
        <v>Fav</v>
      </c>
      <c r="H14" s="39" t="n">
        <f aca="false">SUMPRODUCT((Budget!$B$3:$M$3&lt;=$C$3)*Budget!$B12:$M12)</f>
        <v>5745600</v>
      </c>
      <c r="I14" s="39" t="n">
        <f aca="false">SUMPRODUCT((Actuals!$B$3:$M$3&lt;=$C$3)*Actuals!$B12:$M12)</f>
        <v>5989602</v>
      </c>
      <c r="J14" s="40" t="n">
        <f aca="false">I14-H14</f>
        <v>244002</v>
      </c>
      <c r="K14" s="31" t="n">
        <f aca="false">IF(H14=0,0,J14/ABS(H14))</f>
        <v>0.0424676274018379</v>
      </c>
      <c r="L14" s="32" t="str">
        <f aca="false">IF(ABS(K14)&lt;0.005,"On plan",IF(J14&gt;0,"Fav","Unfav"))</f>
        <v>Fav</v>
      </c>
      <c r="M14" s="33" t="str">
        <f aca="false">IF(AND(ABS(K14)&gt;=Assumptions!$B$7,ABS(J14)&gt;=Assumptions!$B$8),"Explain","")</f>
        <v/>
      </c>
      <c r="O14" s="39" t="n">
        <f aca="false">Budget!$N12</f>
        <v>8640000</v>
      </c>
      <c r="P14" s="39" t="n">
        <f aca="false">Forecast!$N12</f>
        <v>9050430</v>
      </c>
      <c r="Q14" s="40" t="n">
        <f aca="false">P14-O14</f>
        <v>410430</v>
      </c>
      <c r="R14" s="31" t="n">
        <f aca="false">IF(O14=0,0,Q14/ABS(O14))</f>
        <v>0.0475034722222222</v>
      </c>
      <c r="S14" s="32" t="str">
        <f aca="false">IF(ABS(R14)&lt;0.005,"On plan",IF(Q14&gt;0,"Fav","Unfav"))</f>
        <v>Fav</v>
      </c>
    </row>
    <row r="15" customFormat="false" ht="15" hidden="false" customHeight="false" outlineLevel="0" collapsed="false">
      <c r="A15" s="28" t="s">
        <v>67</v>
      </c>
      <c r="B15" s="39" t="n">
        <f aca="false">INDEX(Budget!$B13:$M13,$C$3)</f>
        <v>663000</v>
      </c>
      <c r="C15" s="39" t="n">
        <f aca="false">INDEX(Actuals!$B13:$M13,$C$3)</f>
        <v>639894</v>
      </c>
      <c r="D15" s="40" t="n">
        <f aca="false">C15-B15</f>
        <v>-23106</v>
      </c>
      <c r="E15" s="31" t="n">
        <f aca="false">IF(B15=0,0,D15/ABS(B15))</f>
        <v>-0.0348506787330317</v>
      </c>
      <c r="F15" s="32" t="str">
        <f aca="false">IF(ABS(E15)&lt;0.005,"On plan",IF(D15&gt;0,"Fav","Unfav"))</f>
        <v>Unfav</v>
      </c>
      <c r="H15" s="39" t="n">
        <f aca="false">SUMPRODUCT((Budget!$B$3:$M$3&lt;=$C$3)*Budget!$B13:$M13)</f>
        <v>5187000</v>
      </c>
      <c r="I15" s="39" t="n">
        <f aca="false">SUMPRODUCT((Actuals!$B$3:$M$3&lt;=$C$3)*Actuals!$B13:$M13)</f>
        <v>4852498</v>
      </c>
      <c r="J15" s="40" t="n">
        <f aca="false">I15-H15</f>
        <v>-334502</v>
      </c>
      <c r="K15" s="31" t="n">
        <f aca="false">IF(H15=0,0,J15/ABS(H15))</f>
        <v>-0.0644885290148448</v>
      </c>
      <c r="L15" s="32" t="str">
        <f aca="false">IF(ABS(K15)&lt;0.005,"On plan",IF(J15&gt;0,"Fav","Unfav"))</f>
        <v>Unfav</v>
      </c>
      <c r="M15" s="33" t="str">
        <f aca="false">IF(AND(ABS(K15)&gt;=Assumptions!$B$7,ABS(J15)&gt;=Assumptions!$B$8),"Explain","")</f>
        <v>Explain</v>
      </c>
      <c r="O15" s="39" t="n">
        <f aca="false">Budget!$N13</f>
        <v>7800000</v>
      </c>
      <c r="P15" s="39" t="n">
        <f aca="false">Forecast!$N13</f>
        <v>7360978</v>
      </c>
      <c r="Q15" s="40" t="n">
        <f aca="false">P15-O15</f>
        <v>-439022</v>
      </c>
      <c r="R15" s="31" t="n">
        <f aca="false">IF(O15=0,0,Q15/ABS(O15))</f>
        <v>-0.0562848717948718</v>
      </c>
      <c r="S15" s="32" t="str">
        <f aca="false">IF(ABS(R15)&lt;0.005,"On plan",IF(Q15&gt;0,"Fav","Unfav"))</f>
        <v>Unfav</v>
      </c>
    </row>
    <row r="16" customFormat="false" ht="15" hidden="false" customHeight="false" outlineLevel="0" collapsed="false">
      <c r="A16" s="28" t="s">
        <v>68</v>
      </c>
      <c r="B16" s="39" t="n">
        <f aca="false">INDEX(Budget!$B14:$M14,$C$3)</f>
        <v>561000</v>
      </c>
      <c r="C16" s="39" t="n">
        <f aca="false">INDEX(Actuals!$B14:$M14,$C$3)</f>
        <v>606778</v>
      </c>
      <c r="D16" s="40" t="n">
        <f aca="false">C16-B16</f>
        <v>45778</v>
      </c>
      <c r="E16" s="31" t="n">
        <f aca="false">IF(B16=0,0,D16/ABS(B16))</f>
        <v>0.0816007130124777</v>
      </c>
      <c r="F16" s="32" t="str">
        <f aca="false">IF(ABS(E16)&lt;0.005,"On plan",IF(D16&gt;0,"Fav","Unfav"))</f>
        <v>Fav</v>
      </c>
      <c r="H16" s="39" t="n">
        <f aca="false">SUMPRODUCT((Budget!$B$3:$M$3&lt;=$C$3)*Budget!$B14:$M14)</f>
        <v>4389000</v>
      </c>
      <c r="I16" s="39" t="n">
        <f aca="false">SUMPRODUCT((Actuals!$B$3:$M$3&lt;=$C$3)*Actuals!$B14:$M14)</f>
        <v>4637860</v>
      </c>
      <c r="J16" s="40" t="n">
        <f aca="false">I16-H16</f>
        <v>248860</v>
      </c>
      <c r="K16" s="31" t="n">
        <f aca="false">IF(H16=0,0,J16/ABS(H16))</f>
        <v>0.0567008430166325</v>
      </c>
      <c r="L16" s="32" t="str">
        <f aca="false">IF(ABS(K16)&lt;0.005,"On plan",IF(J16&gt;0,"Fav","Unfav"))</f>
        <v>Fav</v>
      </c>
      <c r="M16" s="33" t="str">
        <f aca="false">IF(AND(ABS(K16)&gt;=Assumptions!$B$7,ABS(J16)&gt;=Assumptions!$B$8),"Explain","")</f>
        <v>Explain</v>
      </c>
      <c r="O16" s="39" t="n">
        <f aca="false">Budget!$N14</f>
        <v>6600000</v>
      </c>
      <c r="P16" s="39" t="n">
        <f aca="false">Forecast!$N14</f>
        <v>7029277.6</v>
      </c>
      <c r="Q16" s="40" t="n">
        <f aca="false">P16-O16</f>
        <v>429277.600000001</v>
      </c>
      <c r="R16" s="31" t="n">
        <f aca="false">IF(O16=0,0,Q16/ABS(O16))</f>
        <v>0.0650420606060607</v>
      </c>
      <c r="S16" s="32" t="str">
        <f aca="false">IF(ABS(R16)&lt;0.005,"On plan",IF(Q16&gt;0,"Fav","Unfav"))</f>
        <v>Fav</v>
      </c>
    </row>
    <row r="17" customFormat="false" ht="15" hidden="false" customHeight="false" outlineLevel="0" collapsed="false">
      <c r="A17" s="3" t="s">
        <v>71</v>
      </c>
      <c r="B17" s="41" t="n">
        <f aca="false">INDEX(Budget!$B15:$M15,$C$3)</f>
        <v>1958400</v>
      </c>
      <c r="C17" s="41" t="n">
        <f aca="false">INDEX(Actuals!$B15:$M15,$C$3)</f>
        <v>2031158</v>
      </c>
      <c r="D17" s="42" t="n">
        <f aca="false">C17-B17</f>
        <v>72758</v>
      </c>
      <c r="E17" s="36" t="n">
        <f aca="false">IF(B17=0,0,D17/ABS(B17))</f>
        <v>0.0371517565359477</v>
      </c>
      <c r="F17" s="37" t="str">
        <f aca="false">IF(ABS(E17)&lt;0.005,"On plan",IF(D17&gt;0,"Fav","Unfav"))</f>
        <v>Fav</v>
      </c>
      <c r="H17" s="41" t="n">
        <f aca="false">SUMPRODUCT((Budget!$B$3:$M$3&lt;=$C$3)*Budget!$B15:$M15)</f>
        <v>15321600</v>
      </c>
      <c r="I17" s="41" t="n">
        <f aca="false">SUMPRODUCT((Actuals!$B$3:$M$3&lt;=$C$3)*Actuals!$B15:$M15)</f>
        <v>15479960</v>
      </c>
      <c r="J17" s="42" t="n">
        <f aca="false">I17-H17</f>
        <v>158360</v>
      </c>
      <c r="K17" s="36" t="n">
        <f aca="false">IF(H17=0,0,J17/ABS(H17))</f>
        <v>0.0103357351712615</v>
      </c>
      <c r="L17" s="37" t="str">
        <f aca="false">IF(ABS(K17)&lt;0.005,"On plan",IF(J17&gt;0,"Fav","Unfav"))</f>
        <v>Fav</v>
      </c>
      <c r="M17" s="38" t="str">
        <f aca="false">IF(AND(ABS(K17)&gt;=Assumptions!$B$7,ABS(J17)&gt;=Assumptions!$B$8),"Explain","")</f>
        <v/>
      </c>
      <c r="O17" s="41" t="n">
        <f aca="false">Budget!$N15</f>
        <v>23040000</v>
      </c>
      <c r="P17" s="41" t="n">
        <f aca="false">Forecast!$N15</f>
        <v>23440685.6</v>
      </c>
      <c r="Q17" s="42" t="n">
        <f aca="false">P17-O17</f>
        <v>400685.600000002</v>
      </c>
      <c r="R17" s="36" t="n">
        <f aca="false">IF(O17=0,0,Q17/ABS(O17))</f>
        <v>0.0173908680555556</v>
      </c>
      <c r="S17" s="37" t="str">
        <f aca="false">IF(ABS(R17)&lt;0.005,"On plan",IF(Q17&gt;0,"Fav","Unfav"))</f>
        <v>Fav</v>
      </c>
    </row>
    <row r="19" customFormat="false" ht="15" hidden="false" customHeight="false" outlineLevel="0" collapsed="false">
      <c r="A19" s="26" t="s">
        <v>72</v>
      </c>
      <c r="B19" s="27"/>
      <c r="C19" s="27"/>
      <c r="D19" s="27"/>
      <c r="E19" s="27"/>
      <c r="F19" s="27"/>
      <c r="H19" s="27"/>
      <c r="I19" s="27"/>
      <c r="J19" s="27"/>
      <c r="K19" s="27"/>
      <c r="L19" s="27"/>
      <c r="M19" s="27"/>
      <c r="O19" s="27"/>
      <c r="P19" s="27"/>
      <c r="Q19" s="27"/>
      <c r="R19" s="27"/>
      <c r="S19" s="27"/>
    </row>
    <row r="20" customFormat="false" ht="15" hidden="false" customHeight="false" outlineLevel="0" collapsed="false">
      <c r="A20" s="28" t="s">
        <v>73</v>
      </c>
      <c r="B20" s="39" t="n">
        <f aca="false">INDEX(Budget!$B18:$M18,$C$3)</f>
        <v>714000</v>
      </c>
      <c r="C20" s="39" t="n">
        <f aca="false">INDEX(Actuals!$B18:$M18,$C$3)</f>
        <v>754390</v>
      </c>
      <c r="D20" s="40" t="n">
        <f aca="false">B20-C20</f>
        <v>-40390</v>
      </c>
      <c r="E20" s="31" t="n">
        <f aca="false">IF(B20=0,0,D20/ABS(B20))</f>
        <v>-0.0565686274509804</v>
      </c>
      <c r="F20" s="32" t="str">
        <f aca="false">IF(ABS(E20)&lt;0.005,"On plan",IF(D20&gt;0,"Fav","Unfav"))</f>
        <v>Unfav</v>
      </c>
      <c r="H20" s="39" t="n">
        <f aca="false">SUMPRODUCT((Budget!$B$3:$M$3&lt;=$C$3)*Budget!$B18:$M18)</f>
        <v>5586000</v>
      </c>
      <c r="I20" s="39" t="n">
        <f aca="false">SUMPRODUCT((Actuals!$B$3:$M$3&lt;=$C$3)*Actuals!$B18:$M18)</f>
        <v>5709304</v>
      </c>
      <c r="J20" s="40" t="n">
        <f aca="false">H20-I20</f>
        <v>-123304</v>
      </c>
      <c r="K20" s="31" t="n">
        <f aca="false">IF(H20=0,0,J20/ABS(H20))</f>
        <v>-0.0220737558181167</v>
      </c>
      <c r="L20" s="32" t="str">
        <f aca="false">IF(ABS(K20)&lt;0.005,"On plan",IF(J20&gt;0,"Fav","Unfav"))</f>
        <v>Unfav</v>
      </c>
      <c r="M20" s="33" t="str">
        <f aca="false">IF(AND(ABS(K20)&gt;=Assumptions!$B$7,ABS(J20)&gt;=Assumptions!$B$8),"Explain","")</f>
        <v/>
      </c>
      <c r="O20" s="39" t="n">
        <f aca="false">Budget!$N18</f>
        <v>8400000</v>
      </c>
      <c r="P20" s="39" t="n">
        <f aca="false">Forecast!$N18</f>
        <v>8662018.12</v>
      </c>
      <c r="Q20" s="40" t="n">
        <f aca="false">O20-P20</f>
        <v>-262018.119999999</v>
      </c>
      <c r="R20" s="31" t="n">
        <f aca="false">IF(O20=0,0,Q20/ABS(O20))</f>
        <v>-0.0311926333333332</v>
      </c>
      <c r="S20" s="32" t="str">
        <f aca="false">IF(ABS(R20)&lt;0.005,"On plan",IF(Q20&gt;0,"Fav","Unfav"))</f>
        <v>Unfav</v>
      </c>
    </row>
    <row r="21" customFormat="false" ht="15" hidden="false" customHeight="false" outlineLevel="0" collapsed="false">
      <c r="A21" s="28" t="s">
        <v>74</v>
      </c>
      <c r="B21" s="39" t="n">
        <f aca="false">INDEX(Budget!$B19:$M19,$C$3)</f>
        <v>224400</v>
      </c>
      <c r="C21" s="39" t="n">
        <f aca="false">INDEX(Actuals!$B19:$M19,$C$3)</f>
        <v>236119</v>
      </c>
      <c r="D21" s="40" t="n">
        <f aca="false">B21-C21</f>
        <v>-11719</v>
      </c>
      <c r="E21" s="31" t="n">
        <f aca="false">IF(B21=0,0,D21/ABS(B21))</f>
        <v>-0.0522237076648841</v>
      </c>
      <c r="F21" s="32" t="str">
        <f aca="false">IF(ABS(E21)&lt;0.005,"On plan",IF(D21&gt;0,"Fav","Unfav"))</f>
        <v>Unfav</v>
      </c>
      <c r="H21" s="39" t="n">
        <f aca="false">SUMPRODUCT((Budget!$B$3:$M$3&lt;=$C$3)*Budget!$B19:$M19)</f>
        <v>1755600</v>
      </c>
      <c r="I21" s="39" t="n">
        <f aca="false">SUMPRODUCT((Actuals!$B$3:$M$3&lt;=$C$3)*Actuals!$B19:$M19)</f>
        <v>1803614</v>
      </c>
      <c r="J21" s="40" t="n">
        <f aca="false">H21-I21</f>
        <v>-48014</v>
      </c>
      <c r="K21" s="31" t="n">
        <f aca="false">IF(H21=0,0,J21/ABS(H21))</f>
        <v>-0.0273490544543176</v>
      </c>
      <c r="L21" s="32" t="str">
        <f aca="false">IF(ABS(K21)&lt;0.005,"On plan",IF(J21&gt;0,"Fav","Unfav"))</f>
        <v>Unfav</v>
      </c>
      <c r="M21" s="33" t="str">
        <f aca="false">IF(AND(ABS(K21)&gt;=Assumptions!$B$7,ABS(J21)&gt;=Assumptions!$B$8),"Explain","")</f>
        <v/>
      </c>
      <c r="O21" s="39" t="n">
        <f aca="false">Budget!$N19</f>
        <v>2640000</v>
      </c>
      <c r="P21" s="39" t="n">
        <f aca="false">Forecast!$N19</f>
        <v>2727844.16</v>
      </c>
      <c r="Q21" s="40" t="n">
        <f aca="false">O21-P21</f>
        <v>-87844.1600000002</v>
      </c>
      <c r="R21" s="31" t="n">
        <f aca="false">IF(O21=0,0,Q21/ABS(O21))</f>
        <v>-0.0332743030303031</v>
      </c>
      <c r="S21" s="32" t="str">
        <f aca="false">IF(ABS(R21)&lt;0.005,"On plan",IF(Q21&gt;0,"Fav","Unfav"))</f>
        <v>Unfav</v>
      </c>
    </row>
    <row r="22" customFormat="false" ht="15" hidden="false" customHeight="false" outlineLevel="0" collapsed="false">
      <c r="A22" s="28" t="s">
        <v>75</v>
      </c>
      <c r="B22" s="39" t="n">
        <f aca="false">INDEX(Budget!$B20:$M20,$C$3)</f>
        <v>88128</v>
      </c>
      <c r="C22" s="39" t="n">
        <f aca="false">INDEX(Actuals!$B20:$M20,$C$3)</f>
        <v>103589</v>
      </c>
      <c r="D22" s="40" t="n">
        <f aca="false">B22-C22</f>
        <v>-15461</v>
      </c>
      <c r="E22" s="31" t="n">
        <f aca="false">IF(B22=0,0,D22/ABS(B22))</f>
        <v>-0.175437999273784</v>
      </c>
      <c r="F22" s="32" t="str">
        <f aca="false">IF(ABS(E22)&lt;0.005,"On plan",IF(D22&gt;0,"Fav","Unfav"))</f>
        <v>Unfav</v>
      </c>
      <c r="H22" s="39" t="n">
        <f aca="false">SUMPRODUCT((Budget!$B$3:$M$3&lt;=$C$3)*Budget!$B20:$M20)</f>
        <v>689472</v>
      </c>
      <c r="I22" s="39" t="n">
        <f aca="false">SUMPRODUCT((Actuals!$B$3:$M$3&lt;=$C$3)*Actuals!$B20:$M20)</f>
        <v>796074</v>
      </c>
      <c r="J22" s="40" t="n">
        <f aca="false">H22-I22</f>
        <v>-106602</v>
      </c>
      <c r="K22" s="31" t="n">
        <f aca="false">IF(H22=0,0,J22/ABS(H22))</f>
        <v>-0.154613965469229</v>
      </c>
      <c r="L22" s="32" t="str">
        <f aca="false">IF(ABS(K22)&lt;0.005,"On plan",IF(J22&gt;0,"Fav","Unfav"))</f>
        <v>Unfav</v>
      </c>
      <c r="M22" s="33" t="str">
        <f aca="false">IF(AND(ABS(K22)&gt;=Assumptions!$B$7,ABS(J22)&gt;=Assumptions!$B$8),"Explain","")</f>
        <v>Explain</v>
      </c>
      <c r="O22" s="39" t="n">
        <f aca="false">Budget!$N20</f>
        <v>1036800</v>
      </c>
      <c r="P22" s="39" t="n">
        <f aca="false">Forecast!$N20</f>
        <v>1194110.28</v>
      </c>
      <c r="Q22" s="40" t="n">
        <f aca="false">O22-P22</f>
        <v>-157310.28</v>
      </c>
      <c r="R22" s="31" t="n">
        <f aca="false">IF(O22=0,0,Q22/ABS(O22))</f>
        <v>-0.151726736111111</v>
      </c>
      <c r="S22" s="32" t="str">
        <f aca="false">IF(ABS(R22)&lt;0.005,"On plan",IF(Q22&gt;0,"Fav","Unfav"))</f>
        <v>Unfav</v>
      </c>
    </row>
    <row r="23" customFormat="false" ht="15" hidden="false" customHeight="false" outlineLevel="0" collapsed="false">
      <c r="A23" s="3" t="s">
        <v>76</v>
      </c>
      <c r="B23" s="41" t="n">
        <f aca="false">INDEX(Budget!$B21:$M21,$C$3)</f>
        <v>1026528</v>
      </c>
      <c r="C23" s="41" t="n">
        <f aca="false">INDEX(Actuals!$B21:$M21,$C$3)</f>
        <v>1094098</v>
      </c>
      <c r="D23" s="42" t="n">
        <f aca="false">B23-C23</f>
        <v>-67570</v>
      </c>
      <c r="E23" s="36" t="n">
        <f aca="false">IF(B23=0,0,D23/ABS(B23))</f>
        <v>-0.0658238255556595</v>
      </c>
      <c r="F23" s="37" t="str">
        <f aca="false">IF(ABS(E23)&lt;0.005,"On plan",IF(D23&gt;0,"Fav","Unfav"))</f>
        <v>Unfav</v>
      </c>
      <c r="H23" s="41" t="n">
        <f aca="false">SUMPRODUCT((Budget!$B$3:$M$3&lt;=$C$3)*Budget!$B21:$M21)</f>
        <v>8031072</v>
      </c>
      <c r="I23" s="41" t="n">
        <f aca="false">SUMPRODUCT((Actuals!$B$3:$M$3&lt;=$C$3)*Actuals!$B21:$M21)</f>
        <v>8308992</v>
      </c>
      <c r="J23" s="42" t="n">
        <f aca="false">H23-I23</f>
        <v>-277920</v>
      </c>
      <c r="K23" s="36" t="n">
        <f aca="false">IF(H23=0,0,J23/ABS(H23))</f>
        <v>-0.0346055918811337</v>
      </c>
      <c r="L23" s="37" t="str">
        <f aca="false">IF(ABS(K23)&lt;0.005,"On plan",IF(J23&gt;0,"Fav","Unfav"))</f>
        <v>Unfav</v>
      </c>
      <c r="M23" s="38" t="str">
        <f aca="false">IF(AND(ABS(K23)&gt;=Assumptions!$B$7,ABS(J23)&gt;=Assumptions!$B$8),"Explain","")</f>
        <v/>
      </c>
      <c r="O23" s="41" t="n">
        <f aca="false">Budget!$N21</f>
        <v>12076800</v>
      </c>
      <c r="P23" s="41" t="n">
        <f aca="false">Forecast!$N21</f>
        <v>12583972.56</v>
      </c>
      <c r="Q23" s="42" t="n">
        <f aca="false">O23-P23</f>
        <v>-507172.559999999</v>
      </c>
      <c r="R23" s="36" t="n">
        <f aca="false">IF(O23=0,0,Q23/ABS(O23))</f>
        <v>-0.041995608108108</v>
      </c>
      <c r="S23" s="37" t="str">
        <f aca="false">IF(ABS(R23)&lt;0.005,"On plan",IF(Q23&gt;0,"Fav","Unfav"))</f>
        <v>Unfav</v>
      </c>
    </row>
    <row r="24" customFormat="false" ht="15" hidden="false" customHeight="false" outlineLevel="0" collapsed="false">
      <c r="A24" s="43" t="s">
        <v>77</v>
      </c>
      <c r="B24" s="44" t="n">
        <f aca="false">INDEX(Budget!$B22:$M22,$C$3)</f>
        <v>931872</v>
      </c>
      <c r="C24" s="44" t="n">
        <f aca="false">INDEX(Actuals!$B22:$M22,$C$3)</f>
        <v>937060</v>
      </c>
      <c r="D24" s="45" t="n">
        <f aca="false">C24-B24</f>
        <v>5188</v>
      </c>
      <c r="E24" s="46" t="n">
        <f aca="false">IF(B24=0,0,D24/ABS(B24))</f>
        <v>0.00556728821125648</v>
      </c>
      <c r="F24" s="47" t="str">
        <f aca="false">IF(ABS(E24)&lt;0.005,"On plan",IF(D24&gt;0,"Fav","Unfav"))</f>
        <v>Fav</v>
      </c>
      <c r="H24" s="44" t="n">
        <f aca="false">SUMPRODUCT((Budget!$B$3:$M$3&lt;=$C$3)*Budget!$B22:$M22)</f>
        <v>7290528</v>
      </c>
      <c r="I24" s="44" t="n">
        <f aca="false">SUMPRODUCT((Actuals!$B$3:$M$3&lt;=$C$3)*Actuals!$B22:$M22)</f>
        <v>7170968</v>
      </c>
      <c r="J24" s="45" t="n">
        <f aca="false">I24-H24</f>
        <v>-119560</v>
      </c>
      <c r="K24" s="46" t="n">
        <f aca="false">IF(H24=0,0,J24/ABS(H24))</f>
        <v>-0.0163993609242019</v>
      </c>
      <c r="L24" s="47" t="str">
        <f aca="false">IF(ABS(K24)&lt;0.005,"On plan",IF(J24&gt;0,"Fav","Unfav"))</f>
        <v>Unfav</v>
      </c>
      <c r="M24" s="48" t="str">
        <f aca="false">IF(AND(ABS(K24)&gt;=Assumptions!$B$7,ABS(J24)&gt;=Assumptions!$B$8),"Explain","")</f>
        <v/>
      </c>
      <c r="O24" s="44" t="n">
        <f aca="false">Budget!$N22</f>
        <v>10963200</v>
      </c>
      <c r="P24" s="44" t="n">
        <f aca="false">Forecast!$N22</f>
        <v>10856713.04</v>
      </c>
      <c r="Q24" s="45" t="n">
        <f aca="false">P24-O24</f>
        <v>-106486.959999997</v>
      </c>
      <c r="R24" s="46" t="n">
        <f aca="false">IF(O24=0,0,Q24/ABS(O24))</f>
        <v>-0.00971312755399858</v>
      </c>
      <c r="S24" s="47" t="str">
        <f aca="false">IF(ABS(R24)&lt;0.005,"On plan",IF(Q24&gt;0,"Fav","Unfav"))</f>
        <v>Unfav</v>
      </c>
    </row>
    <row r="25" customFormat="false" ht="15" hidden="false" customHeight="false" outlineLevel="0" collapsed="false">
      <c r="A25" s="3" t="s">
        <v>78</v>
      </c>
      <c r="B25" s="49" t="n">
        <f aca="false">IF(B17=0,0,B24/B17)</f>
        <v>0.475833333333333</v>
      </c>
      <c r="C25" s="49" t="n">
        <f aca="false">IF(C17=0,0,C24/C17)</f>
        <v>0.461342741431243</v>
      </c>
      <c r="D25" s="50" t="n">
        <f aca="false">C25-B25</f>
        <v>-0.0144905919020907</v>
      </c>
      <c r="F25" s="51" t="str">
        <f aca="false">IF(ABS(D25)&lt;0.0005,"On plan",IF(D25&gt;0,"Fav","Unfav"))</f>
        <v>Unfav</v>
      </c>
      <c r="H25" s="49" t="n">
        <f aca="false">IF(H17=0,0,H24/H17)</f>
        <v>0.475833333333333</v>
      </c>
      <c r="I25" s="49" t="n">
        <f aca="false">IF(I17=0,0,I24/I17)</f>
        <v>0.463242023881199</v>
      </c>
      <c r="J25" s="50" t="n">
        <f aca="false">I25-H25</f>
        <v>-0.0125913094521347</v>
      </c>
      <c r="L25" s="51" t="str">
        <f aca="false">IF(ABS(J25)&lt;0.0005,"On plan",IF(J25&gt;0,"Fav","Unfav"))</f>
        <v>Unfav</v>
      </c>
      <c r="O25" s="49" t="n">
        <f aca="false">IF(O17=0,0,O24/O17)</f>
        <v>0.475833333333333</v>
      </c>
      <c r="P25" s="49" t="n">
        <f aca="false">IF(P17=0,0,P24/P17)</f>
        <v>0.463156804594487</v>
      </c>
      <c r="Q25" s="50" t="n">
        <f aca="false">P25-O25</f>
        <v>-0.0126765287388464</v>
      </c>
      <c r="S25" s="51" t="str">
        <f aca="false">IF(ABS(Q25)&lt;0.0005,"On plan",IF(Q25&gt;0,"Fav","Unfav"))</f>
        <v>Unfav</v>
      </c>
    </row>
    <row r="27" customFormat="false" ht="15" hidden="false" customHeight="false" outlineLevel="0" collapsed="false">
      <c r="A27" s="26" t="s">
        <v>79</v>
      </c>
      <c r="B27" s="27"/>
      <c r="C27" s="27"/>
      <c r="D27" s="27"/>
      <c r="E27" s="27"/>
      <c r="F27" s="27"/>
      <c r="H27" s="27"/>
      <c r="I27" s="27"/>
      <c r="J27" s="27"/>
      <c r="K27" s="27"/>
      <c r="L27" s="27"/>
      <c r="M27" s="27"/>
      <c r="O27" s="27"/>
      <c r="P27" s="27"/>
      <c r="Q27" s="27"/>
      <c r="R27" s="27"/>
      <c r="S27" s="27"/>
    </row>
    <row r="28" customFormat="false" ht="15" hidden="false" customHeight="false" outlineLevel="0" collapsed="false">
      <c r="A28" s="28" t="s">
        <v>80</v>
      </c>
      <c r="B28" s="39" t="n">
        <f aca="false">INDEX(Budget!$B26:$M26,$C$3)</f>
        <v>293550</v>
      </c>
      <c r="C28" s="39" t="n">
        <f aca="false">INDEX(Actuals!$B26:$M26,$C$3)</f>
        <v>295020</v>
      </c>
      <c r="D28" s="40" t="n">
        <f aca="false">B28-C28</f>
        <v>-1470</v>
      </c>
      <c r="E28" s="31" t="n">
        <f aca="false">IF(B28=0,0,D28/ABS(B28))</f>
        <v>-0.00500766479305059</v>
      </c>
      <c r="F28" s="32" t="str">
        <f aca="false">IF(ABS(E28)&lt;0.005,"On plan",IF(D28&gt;0,"Fav","Unfav"))</f>
        <v>Unfav</v>
      </c>
      <c r="H28" s="39" t="n">
        <f aca="false">SUMPRODUCT((Budget!$B$3:$M$3&lt;=$C$3)*Budget!$B26:$M26)</f>
        <v>2616300</v>
      </c>
      <c r="I28" s="39" t="n">
        <f aca="false">SUMPRODUCT((Actuals!$B$3:$M$3&lt;=$C$3)*Actuals!$B26:$M26)</f>
        <v>2552200</v>
      </c>
      <c r="J28" s="40" t="n">
        <f aca="false">H28-I28</f>
        <v>64100</v>
      </c>
      <c r="K28" s="31" t="n">
        <f aca="false">IF(H28=0,0,J28/ABS(H28))</f>
        <v>0.0245002484424569</v>
      </c>
      <c r="L28" s="32" t="str">
        <f aca="false">IF(ABS(K28)&lt;0.005,"On plan",IF(J28&gt;0,"Fav","Unfav"))</f>
        <v>Fav</v>
      </c>
      <c r="M28" s="33" t="str">
        <f aca="false">IF(AND(ABS(K28)&gt;=Assumptions!$B$7,ABS(J28)&gt;=Assumptions!$B$8),"Explain","")</f>
        <v/>
      </c>
      <c r="O28" s="39" t="n">
        <f aca="false">Budget!$N26</f>
        <v>3496950</v>
      </c>
      <c r="P28" s="39" t="n">
        <f aca="false">Forecast!$N26</f>
        <v>3446200</v>
      </c>
      <c r="Q28" s="40" t="n">
        <f aca="false">O28-P28</f>
        <v>50750</v>
      </c>
      <c r="R28" s="31" t="n">
        <f aca="false">IF(O28=0,0,Q28/ABS(O28))</f>
        <v>0.0145126467350119</v>
      </c>
      <c r="S28" s="32" t="str">
        <f aca="false">IF(ABS(R28)&lt;0.005,"On plan",IF(Q28&gt;0,"Fav","Unfav"))</f>
        <v>Fav</v>
      </c>
    </row>
    <row r="29" customFormat="false" ht="15" hidden="false" customHeight="false" outlineLevel="0" collapsed="false">
      <c r="A29" s="28" t="s">
        <v>81</v>
      </c>
      <c r="B29" s="39" t="n">
        <f aca="false">INDEX(Budget!$B27:$M27,$C$3)</f>
        <v>176256</v>
      </c>
      <c r="C29" s="39" t="n">
        <f aca="false">INDEX(Actuals!$B27:$M27,$C$3)</f>
        <v>186800</v>
      </c>
      <c r="D29" s="40" t="n">
        <f aca="false">B29-C29</f>
        <v>-10544</v>
      </c>
      <c r="E29" s="31" t="n">
        <f aca="false">IF(B29=0,0,D29/ABS(B29))</f>
        <v>-0.0598220769789397</v>
      </c>
      <c r="F29" s="32" t="str">
        <f aca="false">IF(ABS(E29)&lt;0.005,"On plan",IF(D29&gt;0,"Fav","Unfav"))</f>
        <v>Unfav</v>
      </c>
      <c r="H29" s="39" t="n">
        <f aca="false">SUMPRODUCT((Budget!$B$3:$M$3&lt;=$C$3)*Budget!$B27:$M27)</f>
        <v>1378944</v>
      </c>
      <c r="I29" s="39" t="n">
        <f aca="false">SUMPRODUCT((Actuals!$B$3:$M$3&lt;=$C$3)*Actuals!$B27:$M27)</f>
        <v>1481700</v>
      </c>
      <c r="J29" s="40" t="n">
        <f aca="false">H29-I29</f>
        <v>-102756</v>
      </c>
      <c r="K29" s="31" t="n">
        <f aca="false">IF(H29=0,0,J29/ABS(H29))</f>
        <v>-0.0745178919521025</v>
      </c>
      <c r="L29" s="32" t="str">
        <f aca="false">IF(ABS(K29)&lt;0.005,"On plan",IF(J29&gt;0,"Fav","Unfav"))</f>
        <v>Unfav</v>
      </c>
      <c r="M29" s="33" t="str">
        <f aca="false">IF(AND(ABS(K29)&gt;=Assumptions!$B$7,ABS(J29)&gt;=Assumptions!$B$8),"Explain","")</f>
        <v>Explain</v>
      </c>
      <c r="O29" s="39" t="n">
        <f aca="false">Budget!$N27</f>
        <v>2073600</v>
      </c>
      <c r="P29" s="39" t="n">
        <f aca="false">Forecast!$N27</f>
        <v>2214086.7552</v>
      </c>
      <c r="Q29" s="40" t="n">
        <f aca="false">O29-P29</f>
        <v>-140486.7552</v>
      </c>
      <c r="R29" s="31" t="n">
        <f aca="false">IF(O29=0,0,Q29/ABS(O29))</f>
        <v>-0.0677501712962963</v>
      </c>
      <c r="S29" s="32" t="str">
        <f aca="false">IF(ABS(R29)&lt;0.005,"On plan",IF(Q29&gt;0,"Fav","Unfav"))</f>
        <v>Unfav</v>
      </c>
    </row>
    <row r="30" customFormat="false" ht="15" hidden="false" customHeight="false" outlineLevel="0" collapsed="false">
      <c r="A30" s="28" t="s">
        <v>82</v>
      </c>
      <c r="B30" s="39" t="n">
        <f aca="false">INDEX(Budget!$B28:$M28,$C$3)</f>
        <v>62000</v>
      </c>
      <c r="C30" s="39" t="n">
        <f aca="false">INDEX(Actuals!$B28:$M28,$C$3)</f>
        <v>64100</v>
      </c>
      <c r="D30" s="40" t="n">
        <f aca="false">B30-C30</f>
        <v>-2100</v>
      </c>
      <c r="E30" s="31" t="n">
        <f aca="false">IF(B30=0,0,D30/ABS(B30))</f>
        <v>-0.0338709677419355</v>
      </c>
      <c r="F30" s="32" t="str">
        <f aca="false">IF(ABS(E30)&lt;0.005,"On plan",IF(D30&gt;0,"Fav","Unfav"))</f>
        <v>Unfav</v>
      </c>
      <c r="H30" s="39" t="n">
        <f aca="false">SUMPRODUCT((Budget!$B$3:$M$3&lt;=$C$3)*Budget!$B28:$M28)</f>
        <v>558000</v>
      </c>
      <c r="I30" s="39" t="n">
        <f aca="false">SUMPRODUCT((Actuals!$B$3:$M$3&lt;=$C$3)*Actuals!$B28:$M28)</f>
        <v>564300</v>
      </c>
      <c r="J30" s="40" t="n">
        <f aca="false">H30-I30</f>
        <v>-6300</v>
      </c>
      <c r="K30" s="31" t="n">
        <f aca="false">IF(H30=0,0,J30/ABS(H30))</f>
        <v>-0.0112903225806452</v>
      </c>
      <c r="L30" s="32" t="str">
        <f aca="false">IF(ABS(K30)&lt;0.005,"On plan",IF(J30&gt;0,"Fav","Unfav"))</f>
        <v>Unfav</v>
      </c>
      <c r="M30" s="33" t="str">
        <f aca="false">IF(AND(ABS(K30)&gt;=Assumptions!$B$7,ABS(J30)&gt;=Assumptions!$B$8),"Explain","")</f>
        <v/>
      </c>
      <c r="O30" s="39" t="n">
        <f aca="false">Budget!$N28</f>
        <v>744000</v>
      </c>
      <c r="P30" s="39" t="n">
        <f aca="false">Forecast!$N28</f>
        <v>756600</v>
      </c>
      <c r="Q30" s="40" t="n">
        <f aca="false">O30-P30</f>
        <v>-12600</v>
      </c>
      <c r="R30" s="31" t="n">
        <f aca="false">IF(O30=0,0,Q30/ABS(O30))</f>
        <v>-0.0169354838709677</v>
      </c>
      <c r="S30" s="32" t="str">
        <f aca="false">IF(ABS(R30)&lt;0.005,"On plan",IF(Q30&gt;0,"Fav","Unfav"))</f>
        <v>Unfav</v>
      </c>
    </row>
    <row r="31" customFormat="false" ht="15" hidden="false" customHeight="false" outlineLevel="0" collapsed="false">
      <c r="A31" s="28" t="s">
        <v>83</v>
      </c>
      <c r="B31" s="39" t="n">
        <f aca="false">INDEX(Budget!$B29:$M29,$C$3)</f>
        <v>38000</v>
      </c>
      <c r="C31" s="39" t="n">
        <f aca="false">INDEX(Actuals!$B29:$M29,$C$3)</f>
        <v>44720</v>
      </c>
      <c r="D31" s="40" t="n">
        <f aca="false">B31-C31</f>
        <v>-6720</v>
      </c>
      <c r="E31" s="31" t="n">
        <f aca="false">IF(B31=0,0,D31/ABS(B31))</f>
        <v>-0.176842105263158</v>
      </c>
      <c r="F31" s="32" t="str">
        <f aca="false">IF(ABS(E31)&lt;0.005,"On plan",IF(D31&gt;0,"Fav","Unfav"))</f>
        <v>Unfav</v>
      </c>
      <c r="H31" s="39" t="n">
        <f aca="false">SUMPRODUCT((Budget!$B$3:$M$3&lt;=$C$3)*Budget!$B29:$M29)</f>
        <v>342000</v>
      </c>
      <c r="I31" s="39" t="n">
        <f aca="false">SUMPRODUCT((Actuals!$B$3:$M$3&lt;=$C$3)*Actuals!$B29:$M29)</f>
        <v>375970</v>
      </c>
      <c r="J31" s="40" t="n">
        <f aca="false">H31-I31</f>
        <v>-33970</v>
      </c>
      <c r="K31" s="31" t="n">
        <f aca="false">IF(H31=0,0,J31/ABS(H31))</f>
        <v>-0.099327485380117</v>
      </c>
      <c r="L31" s="32" t="str">
        <f aca="false">IF(ABS(K31)&lt;0.005,"On plan",IF(J31&gt;0,"Fav","Unfav"))</f>
        <v>Unfav</v>
      </c>
      <c r="M31" s="33" t="str">
        <f aca="false">IF(AND(ABS(K31)&gt;=Assumptions!$B$7,ABS(J31)&gt;=Assumptions!$B$8),"Explain","")</f>
        <v>Explain</v>
      </c>
      <c r="O31" s="39" t="n">
        <f aca="false">Budget!$N29</f>
        <v>456000</v>
      </c>
      <c r="P31" s="39" t="n">
        <f aca="false">Forecast!$N29</f>
        <v>510070</v>
      </c>
      <c r="Q31" s="40" t="n">
        <f aca="false">O31-P31</f>
        <v>-54070</v>
      </c>
      <c r="R31" s="31" t="n">
        <f aca="false">IF(O31=0,0,Q31/ABS(O31))</f>
        <v>-0.118574561403509</v>
      </c>
      <c r="S31" s="32" t="str">
        <f aca="false">IF(ABS(R31)&lt;0.005,"On plan",IF(Q31&gt;0,"Fav","Unfav"))</f>
        <v>Unfav</v>
      </c>
    </row>
    <row r="32" customFormat="false" ht="15" hidden="false" customHeight="false" outlineLevel="0" collapsed="false">
      <c r="A32" s="28" t="s">
        <v>84</v>
      </c>
      <c r="B32" s="39" t="n">
        <f aca="false">INDEX(Budget!$B30:$M30,$C$3)</f>
        <v>22000</v>
      </c>
      <c r="C32" s="39" t="n">
        <f aca="false">INDEX(Actuals!$B30:$M30,$C$3)</f>
        <v>23500</v>
      </c>
      <c r="D32" s="40" t="n">
        <f aca="false">B32-C32</f>
        <v>-1500</v>
      </c>
      <c r="E32" s="31" t="n">
        <f aca="false">IF(B32=0,0,D32/ABS(B32))</f>
        <v>-0.0681818181818182</v>
      </c>
      <c r="F32" s="32" t="str">
        <f aca="false">IF(ABS(E32)&lt;0.005,"On plan",IF(D32&gt;0,"Fav","Unfav"))</f>
        <v>Unfav</v>
      </c>
      <c r="H32" s="39" t="n">
        <f aca="false">SUMPRODUCT((Budget!$B$3:$M$3&lt;=$C$3)*Budget!$B30:$M30)</f>
        <v>233000</v>
      </c>
      <c r="I32" s="39" t="n">
        <f aca="false">SUMPRODUCT((Actuals!$B$3:$M$3&lt;=$C$3)*Actuals!$B30:$M30)</f>
        <v>277800</v>
      </c>
      <c r="J32" s="40" t="n">
        <f aca="false">H32-I32</f>
        <v>-44800</v>
      </c>
      <c r="K32" s="31" t="n">
        <f aca="false">IF(H32=0,0,J32/ABS(H32))</f>
        <v>-0.192274678111588</v>
      </c>
      <c r="L32" s="32" t="str">
        <f aca="false">IF(ABS(K32)&lt;0.005,"On plan",IF(J32&gt;0,"Fav","Unfav"))</f>
        <v>Unfav</v>
      </c>
      <c r="M32" s="33" t="str">
        <f aca="false">IF(AND(ABS(K32)&gt;=Assumptions!$B$7,ABS(J32)&gt;=Assumptions!$B$8),"Explain","")</f>
        <v>Explain</v>
      </c>
      <c r="O32" s="39" t="n">
        <f aca="false">Budget!$N30</f>
        <v>299000</v>
      </c>
      <c r="P32" s="39" t="n">
        <f aca="false">Forecast!$N30</f>
        <v>349800</v>
      </c>
      <c r="Q32" s="40" t="n">
        <f aca="false">O32-P32</f>
        <v>-50800</v>
      </c>
      <c r="R32" s="31" t="n">
        <f aca="false">IF(O32=0,0,Q32/ABS(O32))</f>
        <v>-0.169899665551839</v>
      </c>
      <c r="S32" s="32" t="str">
        <f aca="false">IF(ABS(R32)&lt;0.005,"On plan",IF(Q32&gt;0,"Fav","Unfav"))</f>
        <v>Unfav</v>
      </c>
    </row>
    <row r="33" customFormat="false" ht="15" hidden="false" customHeight="false" outlineLevel="0" collapsed="false">
      <c r="A33" s="28" t="s">
        <v>85</v>
      </c>
      <c r="B33" s="39" t="n">
        <f aca="false">INDEX(Budget!$B31:$M31,$C$3)</f>
        <v>15000</v>
      </c>
      <c r="C33" s="39" t="n">
        <f aca="false">INDEX(Actuals!$B31:$M31,$C$3)</f>
        <v>12600</v>
      </c>
      <c r="D33" s="40" t="n">
        <f aca="false">B33-C33</f>
        <v>2400</v>
      </c>
      <c r="E33" s="31" t="n">
        <f aca="false">IF(B33=0,0,D33/ABS(B33))</f>
        <v>0.16</v>
      </c>
      <c r="F33" s="32" t="str">
        <f aca="false">IF(ABS(E33)&lt;0.005,"On plan",IF(D33&gt;0,"Fav","Unfav"))</f>
        <v>Fav</v>
      </c>
      <c r="H33" s="39" t="n">
        <f aca="false">SUMPRODUCT((Budget!$B$3:$M$3&lt;=$C$3)*Budget!$B31:$M31)</f>
        <v>135000</v>
      </c>
      <c r="I33" s="39" t="n">
        <f aca="false">SUMPRODUCT((Actuals!$B$3:$M$3&lt;=$C$3)*Actuals!$B31:$M31)</f>
        <v>109400</v>
      </c>
      <c r="J33" s="40" t="n">
        <f aca="false">H33-I33</f>
        <v>25600</v>
      </c>
      <c r="K33" s="31" t="n">
        <f aca="false">IF(H33=0,0,J33/ABS(H33))</f>
        <v>0.18962962962963</v>
      </c>
      <c r="L33" s="32" t="str">
        <f aca="false">IF(ABS(K33)&lt;0.005,"On plan",IF(J33&gt;0,"Fav","Unfav"))</f>
        <v>Fav</v>
      </c>
      <c r="M33" s="33" t="str">
        <f aca="false">IF(AND(ABS(K33)&gt;=Assumptions!$B$7,ABS(J33)&gt;=Assumptions!$B$8),"Explain","")</f>
        <v>Explain</v>
      </c>
      <c r="O33" s="39" t="n">
        <f aca="false">Budget!$N31</f>
        <v>180000</v>
      </c>
      <c r="P33" s="39" t="n">
        <f aca="false">Forecast!$N31</f>
        <v>148400</v>
      </c>
      <c r="Q33" s="40" t="n">
        <f aca="false">O33-P33</f>
        <v>31600</v>
      </c>
      <c r="R33" s="31" t="n">
        <f aca="false">IF(O33=0,0,Q33/ABS(O33))</f>
        <v>0.175555555555556</v>
      </c>
      <c r="S33" s="32" t="str">
        <f aca="false">IF(ABS(R33)&lt;0.005,"On plan",IF(Q33&gt;0,"Fav","Unfav"))</f>
        <v>Fav</v>
      </c>
    </row>
    <row r="34" customFormat="false" ht="15" hidden="false" customHeight="false" outlineLevel="0" collapsed="false">
      <c r="A34" s="28" t="s">
        <v>86</v>
      </c>
      <c r="B34" s="39" t="n">
        <f aca="false">INDEX(Budget!$B32:$M32,$C$3)</f>
        <v>12000</v>
      </c>
      <c r="C34" s="39" t="n">
        <f aca="false">INDEX(Actuals!$B32:$M32,$C$3)</f>
        <v>12960</v>
      </c>
      <c r="D34" s="40" t="n">
        <f aca="false">B34-C34</f>
        <v>-960</v>
      </c>
      <c r="E34" s="31" t="n">
        <f aca="false">IF(B34=0,0,D34/ABS(B34))</f>
        <v>-0.08</v>
      </c>
      <c r="F34" s="32" t="str">
        <f aca="false">IF(ABS(E34)&lt;0.005,"On plan",IF(D34&gt;0,"Fav","Unfav"))</f>
        <v>Unfav</v>
      </c>
      <c r="H34" s="39" t="n">
        <f aca="false">SUMPRODUCT((Budget!$B$3:$M$3&lt;=$C$3)*Budget!$B32:$M32)</f>
        <v>108000</v>
      </c>
      <c r="I34" s="39" t="n">
        <f aca="false">SUMPRODUCT((Actuals!$B$3:$M$3&lt;=$C$3)*Actuals!$B32:$M32)</f>
        <v>110880</v>
      </c>
      <c r="J34" s="40" t="n">
        <f aca="false">H34-I34</f>
        <v>-2880</v>
      </c>
      <c r="K34" s="31" t="n">
        <f aca="false">IF(H34=0,0,J34/ABS(H34))</f>
        <v>-0.0266666666666667</v>
      </c>
      <c r="L34" s="32" t="str">
        <f aca="false">IF(ABS(K34)&lt;0.005,"On plan",IF(J34&gt;0,"Fav","Unfav"))</f>
        <v>Unfav</v>
      </c>
      <c r="M34" s="33" t="str">
        <f aca="false">IF(AND(ABS(K34)&gt;=Assumptions!$B$7,ABS(J34)&gt;=Assumptions!$B$8),"Explain","")</f>
        <v/>
      </c>
      <c r="O34" s="39" t="n">
        <f aca="false">Budget!$N32</f>
        <v>144000</v>
      </c>
      <c r="P34" s="39" t="n">
        <f aca="false">Forecast!$N32</f>
        <v>149760</v>
      </c>
      <c r="Q34" s="40" t="n">
        <f aca="false">O34-P34</f>
        <v>-5760</v>
      </c>
      <c r="R34" s="31" t="n">
        <f aca="false">IF(O34=0,0,Q34/ABS(O34))</f>
        <v>-0.04</v>
      </c>
      <c r="S34" s="32" t="str">
        <f aca="false">IF(ABS(R34)&lt;0.005,"On plan",IF(Q34&gt;0,"Fav","Unfav"))</f>
        <v>Unfav</v>
      </c>
    </row>
    <row r="35" customFormat="false" ht="15" hidden="false" customHeight="false" outlineLevel="0" collapsed="false">
      <c r="A35" s="28" t="s">
        <v>87</v>
      </c>
      <c r="B35" s="39" t="n">
        <f aca="false">INDEX(Budget!$B33:$M33,$C$3)</f>
        <v>18000</v>
      </c>
      <c r="C35" s="39" t="n">
        <f aca="false">INDEX(Actuals!$B33:$M33,$C$3)</f>
        <v>19000</v>
      </c>
      <c r="D35" s="40" t="n">
        <f aca="false">B35-C35</f>
        <v>-1000</v>
      </c>
      <c r="E35" s="31" t="n">
        <f aca="false">IF(B35=0,0,D35/ABS(B35))</f>
        <v>-0.0555555555555556</v>
      </c>
      <c r="F35" s="32" t="str">
        <f aca="false">IF(ABS(E35)&lt;0.005,"On plan",IF(D35&gt;0,"Fav","Unfav"))</f>
        <v>Unfav</v>
      </c>
      <c r="H35" s="39" t="n">
        <f aca="false">SUMPRODUCT((Budget!$B$3:$M$3&lt;=$C$3)*Budget!$B33:$M33)</f>
        <v>162000</v>
      </c>
      <c r="I35" s="39" t="n">
        <f aca="false">SUMPRODUCT((Actuals!$B$3:$M$3&lt;=$C$3)*Actuals!$B33:$M33)</f>
        <v>166100</v>
      </c>
      <c r="J35" s="40" t="n">
        <f aca="false">H35-I35</f>
        <v>-4100</v>
      </c>
      <c r="K35" s="31" t="n">
        <f aca="false">IF(H35=0,0,J35/ABS(H35))</f>
        <v>-0.0253086419753086</v>
      </c>
      <c r="L35" s="32" t="str">
        <f aca="false">IF(ABS(K35)&lt;0.005,"On plan",IF(J35&gt;0,"Fav","Unfav"))</f>
        <v>Unfav</v>
      </c>
      <c r="M35" s="33" t="str">
        <f aca="false">IF(AND(ABS(K35)&gt;=Assumptions!$B$7,ABS(J35)&gt;=Assumptions!$B$8),"Explain","")</f>
        <v/>
      </c>
      <c r="O35" s="39" t="n">
        <f aca="false">Budget!$N33</f>
        <v>216000</v>
      </c>
      <c r="P35" s="39" t="n">
        <f aca="false">Forecast!$N33</f>
        <v>221600</v>
      </c>
      <c r="Q35" s="40" t="n">
        <f aca="false">O35-P35</f>
        <v>-5600</v>
      </c>
      <c r="R35" s="31" t="n">
        <f aca="false">IF(O35=0,0,Q35/ABS(O35))</f>
        <v>-0.0259259259259259</v>
      </c>
      <c r="S35" s="32" t="str">
        <f aca="false">IF(ABS(R35)&lt;0.005,"On plan",IF(Q35&gt;0,"Fav","Unfav"))</f>
        <v>Unfav</v>
      </c>
    </row>
    <row r="36" customFormat="false" ht="15" hidden="false" customHeight="false" outlineLevel="0" collapsed="false">
      <c r="A36" s="3" t="s">
        <v>88</v>
      </c>
      <c r="B36" s="41" t="n">
        <f aca="false">INDEX(Budget!$B34:$M34,$C$3)</f>
        <v>636806</v>
      </c>
      <c r="C36" s="41" t="n">
        <f aca="false">INDEX(Actuals!$B34:$M34,$C$3)</f>
        <v>658700</v>
      </c>
      <c r="D36" s="42" t="n">
        <f aca="false">B36-C36</f>
        <v>-21894</v>
      </c>
      <c r="E36" s="36" t="n">
        <f aca="false">IF(B36=0,0,D36/ABS(B36))</f>
        <v>-0.034380957465853</v>
      </c>
      <c r="F36" s="37" t="str">
        <f aca="false">IF(ABS(E36)&lt;0.005,"On plan",IF(D36&gt;0,"Fav","Unfav"))</f>
        <v>Unfav</v>
      </c>
      <c r="H36" s="41" t="n">
        <f aca="false">SUMPRODUCT((Budget!$B$3:$M$3&lt;=$C$3)*Budget!$B34:$M34)</f>
        <v>5533244</v>
      </c>
      <c r="I36" s="41" t="n">
        <f aca="false">SUMPRODUCT((Actuals!$B$3:$M$3&lt;=$C$3)*Actuals!$B34:$M34)</f>
        <v>5638350</v>
      </c>
      <c r="J36" s="42" t="n">
        <f aca="false">H36-I36</f>
        <v>-105106</v>
      </c>
      <c r="K36" s="36" t="n">
        <f aca="false">IF(H36=0,0,J36/ABS(H36))</f>
        <v>-0.0189953669131526</v>
      </c>
      <c r="L36" s="37" t="str">
        <f aca="false">IF(ABS(K36)&lt;0.005,"On plan",IF(J36&gt;0,"Fav","Unfav"))</f>
        <v>Unfav</v>
      </c>
      <c r="M36" s="38" t="str">
        <f aca="false">IF(AND(ABS(K36)&gt;=Assumptions!$B$7,ABS(J36)&gt;=Assumptions!$B$8),"Explain","")</f>
        <v/>
      </c>
      <c r="O36" s="41" t="n">
        <f aca="false">Budget!$N34</f>
        <v>7609550</v>
      </c>
      <c r="P36" s="41" t="n">
        <f aca="false">Forecast!$N34</f>
        <v>7796516.7552</v>
      </c>
      <c r="Q36" s="42" t="n">
        <f aca="false">O36-P36</f>
        <v>-186966.7552</v>
      </c>
      <c r="R36" s="36" t="n">
        <f aca="false">IF(O36=0,0,Q36/ABS(O36))</f>
        <v>-0.0245700146789233</v>
      </c>
      <c r="S36" s="37" t="str">
        <f aca="false">IF(ABS(R36)&lt;0.005,"On plan",IF(Q36&gt;0,"Fav","Unfav"))</f>
        <v>Unfav</v>
      </c>
    </row>
    <row r="37" customFormat="false" ht="15" hidden="false" customHeight="false" outlineLevel="0" collapsed="false">
      <c r="A37" s="43" t="s">
        <v>89</v>
      </c>
      <c r="B37" s="44" t="n">
        <f aca="false">INDEX(Budget!$B35:$M35,$C$3)</f>
        <v>295066</v>
      </c>
      <c r="C37" s="44" t="n">
        <f aca="false">INDEX(Actuals!$B35:$M35,$C$3)</f>
        <v>278360</v>
      </c>
      <c r="D37" s="45" t="n">
        <f aca="false">C37-B37</f>
        <v>-16706</v>
      </c>
      <c r="E37" s="46" t="n">
        <f aca="false">IF(B37=0,0,D37/ABS(B37))</f>
        <v>-0.0566178414320864</v>
      </c>
      <c r="F37" s="47" t="str">
        <f aca="false">IF(ABS(E37)&lt;0.005,"On plan",IF(D37&gt;0,"Fav","Unfav"))</f>
        <v>Unfav</v>
      </c>
      <c r="H37" s="44" t="n">
        <f aca="false">SUMPRODUCT((Budget!$B$3:$M$3&lt;=$C$3)*Budget!$B35:$M35)</f>
        <v>1757284</v>
      </c>
      <c r="I37" s="44" t="n">
        <f aca="false">SUMPRODUCT((Actuals!$B$3:$M$3&lt;=$C$3)*Actuals!$B35:$M35)</f>
        <v>1532618</v>
      </c>
      <c r="J37" s="45" t="n">
        <f aca="false">I37-H37</f>
        <v>-224666</v>
      </c>
      <c r="K37" s="46" t="n">
        <f aca="false">IF(H37=0,0,J37/ABS(H37))</f>
        <v>-0.127848429735888</v>
      </c>
      <c r="L37" s="47" t="str">
        <f aca="false">IF(ABS(K37)&lt;0.005,"On plan",IF(J37&gt;0,"Fav","Unfav"))</f>
        <v>Unfav</v>
      </c>
      <c r="M37" s="48" t="str">
        <f aca="false">IF(AND(ABS(K37)&gt;=Assumptions!$B$7,ABS(J37)&gt;=Assumptions!$B$8),"Explain","")</f>
        <v>Explain</v>
      </c>
      <c r="O37" s="44" t="n">
        <f aca="false">Budget!$N35</f>
        <v>3353650</v>
      </c>
      <c r="P37" s="44" t="n">
        <f aca="false">Forecast!$N35</f>
        <v>3060196.2848</v>
      </c>
      <c r="Q37" s="45" t="n">
        <f aca="false">P37-O37</f>
        <v>-293453.715199998</v>
      </c>
      <c r="R37" s="46" t="n">
        <f aca="false">IF(O37=0,0,Q37/ABS(O37))</f>
        <v>-0.0875027850849068</v>
      </c>
      <c r="S37" s="47" t="str">
        <f aca="false">IF(ABS(R37)&lt;0.005,"On plan",IF(Q37&gt;0,"Fav","Unfav"))</f>
        <v>Unfav</v>
      </c>
    </row>
    <row r="38" customFormat="false" ht="15" hidden="false" customHeight="false" outlineLevel="0" collapsed="false">
      <c r="A38" s="3" t="s">
        <v>90</v>
      </c>
      <c r="B38" s="49" t="n">
        <f aca="false">IF(B17=0,0,B37/B17)</f>
        <v>0.150666870915033</v>
      </c>
      <c r="C38" s="49" t="n">
        <f aca="false">IF(C17=0,0,C37/C17)</f>
        <v>0.137044976314004</v>
      </c>
      <c r="D38" s="50" t="n">
        <f aca="false">C38-B38</f>
        <v>-0.0136218946010285</v>
      </c>
      <c r="F38" s="51" t="str">
        <f aca="false">IF(ABS(D38)&lt;0.0005,"On plan",IF(D38&gt;0,"Fav","Unfav"))</f>
        <v>Unfav</v>
      </c>
      <c r="H38" s="49" t="n">
        <f aca="false">IF(H17=0,0,H37/H17)</f>
        <v>0.11469324352548</v>
      </c>
      <c r="I38" s="49" t="n">
        <f aca="false">IF(I17=0,0,I37/I17)</f>
        <v>0.0990065865803271</v>
      </c>
      <c r="J38" s="50" t="n">
        <f aca="false">I38-H38</f>
        <v>-0.0156866569451533</v>
      </c>
      <c r="L38" s="51" t="str">
        <f aca="false">IF(ABS(J38)&lt;0.0005,"On plan",IF(J38&gt;0,"Fav","Unfav"))</f>
        <v>Unfav</v>
      </c>
      <c r="O38" s="49" t="n">
        <f aca="false">IF(O17=0,0,O37/O17)</f>
        <v>0.145557725694444</v>
      </c>
      <c r="P38" s="49" t="n">
        <f aca="false">IF(P17=0,0,P37/P17)</f>
        <v>0.130550630515688</v>
      </c>
      <c r="Q38" s="50" t="n">
        <f aca="false">P38-O38</f>
        <v>-0.0150070951787567</v>
      </c>
      <c r="S38" s="51" t="str">
        <f aca="false">IF(ABS(Q38)&lt;0.0005,"On plan",IF(Q38&gt;0,"Fav","Unfav"))</f>
        <v>Unfav</v>
      </c>
    </row>
    <row r="40" customFormat="false" ht="15" hidden="false" customHeight="false" outlineLevel="0" collapsed="false">
      <c r="A40" s="2" t="s">
        <v>91</v>
      </c>
    </row>
  </sheetData>
  <mergeCells count="3">
    <mergeCell ref="B5:F5"/>
    <mergeCell ref="H5:M5"/>
    <mergeCell ref="O5:S5"/>
  </mergeCells>
  <conditionalFormatting sqref="D3">
    <cfRule type="expression" priority="2" aboveAverage="0" equalAverage="0" bottom="0" percent="0" rank="0" text="" dxfId="2">
      <formula>$C$3&gt;Assumptions!$B$6</formula>
    </cfRule>
  </conditionalFormatting>
  <conditionalFormatting sqref="F8:F38">
    <cfRule type="expression" priority="3" aboveAverage="0" equalAverage="0" bottom="0" percent="0" rank="0" text="" dxfId="3">
      <formula>F8="Fav"</formula>
    </cfRule>
    <cfRule type="expression" priority="4" aboveAverage="0" equalAverage="0" bottom="0" percent="0" rank="0" text="" dxfId="4">
      <formula>F8="Unfav"</formula>
    </cfRule>
  </conditionalFormatting>
  <conditionalFormatting sqref="L8:L38">
    <cfRule type="expression" priority="5" aboveAverage="0" equalAverage="0" bottom="0" percent="0" rank="0" text="" dxfId="3">
      <formula>L8="Fav"</formula>
    </cfRule>
    <cfRule type="expression" priority="6" aboveAverage="0" equalAverage="0" bottom="0" percent="0" rank="0" text="" dxfId="4">
      <formula>L8="Unfav"</formula>
    </cfRule>
  </conditionalFormatting>
  <conditionalFormatting sqref="S8:S38">
    <cfRule type="expression" priority="7" aboveAverage="0" equalAverage="0" bottom="0" percent="0" rank="0" text="" dxfId="3">
      <formula>S8="Fav"</formula>
    </cfRule>
    <cfRule type="expression" priority="8" aboveAverage="0" equalAverage="0" bottom="0" percent="0" rank="0" text="" dxfId="4">
      <formula>S8="Unfav"</formula>
    </cfRule>
  </conditionalFormatting>
  <conditionalFormatting sqref="D8:D38">
    <cfRule type="expression" priority="9" aboveAverage="0" equalAverage="0" bottom="0" percent="0" rank="0" text="" dxfId="5">
      <formula>AND(ISNUMBER(D8),D8&lt;0)</formula>
    </cfRule>
  </conditionalFormatting>
  <conditionalFormatting sqref="E8:E38">
    <cfRule type="expression" priority="10" aboveAverage="0" equalAverage="0" bottom="0" percent="0" rank="0" text="" dxfId="5">
      <formula>AND(ISNUMBER(E8),E8&lt;0)</formula>
    </cfRule>
  </conditionalFormatting>
  <conditionalFormatting sqref="J8:J38">
    <cfRule type="expression" priority="11" aboveAverage="0" equalAverage="0" bottom="0" percent="0" rank="0" text="" dxfId="5">
      <formula>AND(ISNUMBER(J8),J8&lt;0)</formula>
    </cfRule>
  </conditionalFormatting>
  <conditionalFormatting sqref="K8:K38">
    <cfRule type="expression" priority="12" aboveAverage="0" equalAverage="0" bottom="0" percent="0" rank="0" text="" dxfId="5">
      <formula>AND(ISNUMBER(K8),K8&lt;0)</formula>
    </cfRule>
  </conditionalFormatting>
  <conditionalFormatting sqref="Q8:Q38">
    <cfRule type="expression" priority="13" aboveAverage="0" equalAverage="0" bottom="0" percent="0" rank="0" text="" dxfId="5">
      <formula>AND(ISNUMBER(Q8),Q8&lt;0)</formula>
    </cfRule>
  </conditionalFormatting>
  <conditionalFormatting sqref="R8:R38">
    <cfRule type="expression" priority="14" aboveAverage="0" equalAverage="0" bottom="0" percent="0" rank="0" text="" dxfId="5">
      <formula>AND(ISNUMBER(R8),R8&lt;0)</formula>
    </cfRule>
  </conditionalFormatting>
  <dataValidations count="1">
    <dataValidation allowBlank="false" errorStyle="stop" operator="between" showDropDown="false" showErrorMessage="false" showInputMessage="false" sqref="B3" type="list">
      <formula1>"Jan,Feb,Mar,Apr,May,Jun,Jul,Aug,Sep,Oct,Nov,Dec"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FA8"/>
    <pageSetUpPr fitToPage="false"/>
  </sheetPr>
  <dimension ref="A1:I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1" min="2" style="0" width="14.51"/>
  </cols>
  <sheetData>
    <row r="1" customFormat="false" ht="17.35" hidden="false" customHeight="false" outlineLevel="0" collapsed="false">
      <c r="A1" s="19" t="s">
        <v>14</v>
      </c>
    </row>
    <row r="2" customFormat="false" ht="15" hidden="false" customHeight="false" outlineLevel="0" collapsed="false">
      <c r="A2" s="2" t="s">
        <v>92</v>
      </c>
    </row>
    <row r="3" customFormat="false" ht="15" hidden="false" customHeight="false" outlineLevel="0" collapsed="false">
      <c r="A3" s="10" t="str">
        <f aca="false">"Period: YTD through "&amp;BvA!B3&amp;"-26"</f>
        <v>Period: YTD through Sep-26</v>
      </c>
    </row>
    <row r="5" customFormat="false" ht="30" hidden="false" customHeight="true" outlineLevel="0" collapsed="false">
      <c r="A5" s="25" t="s">
        <v>93</v>
      </c>
      <c r="B5" s="23" t="s">
        <v>94</v>
      </c>
      <c r="C5" s="23" t="s">
        <v>95</v>
      </c>
      <c r="D5" s="23" t="s">
        <v>96</v>
      </c>
      <c r="E5" s="23" t="s">
        <v>97</v>
      </c>
      <c r="F5" s="23" t="s">
        <v>98</v>
      </c>
      <c r="G5" s="23" t="s">
        <v>99</v>
      </c>
      <c r="H5" s="23" t="s">
        <v>100</v>
      </c>
      <c r="I5" s="23" t="s">
        <v>101</v>
      </c>
    </row>
    <row r="6" customFormat="false" ht="15" hidden="false" customHeight="false" outlineLevel="0" collapsed="false">
      <c r="A6" s="5" t="s">
        <v>66</v>
      </c>
      <c r="B6" s="29" t="n">
        <f aca="false">BvA!$H$8</f>
        <v>119700</v>
      </c>
      <c r="C6" s="29" t="n">
        <f aca="false">BvA!$I$8</f>
        <v>127296</v>
      </c>
      <c r="D6" s="52" t="n">
        <f aca="false">IF(B6=0,0,BvA!$H$14/B6)</f>
        <v>48</v>
      </c>
      <c r="E6" s="52" t="n">
        <f aca="false">IF(C6=0,0,BvA!$I$14/C6)</f>
        <v>47.0525546757164</v>
      </c>
      <c r="F6" s="40" t="n">
        <f aca="false">(C6-B6)*D6</f>
        <v>364608</v>
      </c>
      <c r="G6" s="40" t="n">
        <f aca="false">(E6-D6)*C6</f>
        <v>-120606</v>
      </c>
      <c r="H6" s="40" t="n">
        <f aca="false">F6+G6</f>
        <v>244002</v>
      </c>
      <c r="I6" s="29" t="n">
        <f aca="false">ROUND(H6-BvA!$J$14,0)</f>
        <v>0</v>
      </c>
    </row>
    <row r="7" customFormat="false" ht="15" hidden="false" customHeight="false" outlineLevel="0" collapsed="false">
      <c r="A7" s="5" t="s">
        <v>67</v>
      </c>
      <c r="B7" s="29" t="n">
        <f aca="false">BvA!$H$9</f>
        <v>79800</v>
      </c>
      <c r="C7" s="29" t="n">
        <f aca="false">BvA!$I$9</f>
        <v>74544</v>
      </c>
      <c r="D7" s="52" t="n">
        <f aca="false">IF(B7=0,0,BvA!$H$15/B7)</f>
        <v>65</v>
      </c>
      <c r="E7" s="52" t="n">
        <f aca="false">IF(C7=0,0,BvA!$I$15/C7)</f>
        <v>65.0957555269371</v>
      </c>
      <c r="F7" s="40" t="n">
        <f aca="false">(C7-B7)*D7</f>
        <v>-341640</v>
      </c>
      <c r="G7" s="40" t="n">
        <f aca="false">(E7-D7)*C7</f>
        <v>7138.00000000003</v>
      </c>
      <c r="H7" s="40" t="n">
        <f aca="false">F7+G7</f>
        <v>-334502</v>
      </c>
      <c r="I7" s="29" t="n">
        <f aca="false">ROUND(H7-BvA!$J$15,0)</f>
        <v>0</v>
      </c>
    </row>
    <row r="8" customFormat="false" ht="15" hidden="false" customHeight="false" outlineLevel="0" collapsed="false">
      <c r="A8" s="5" t="s">
        <v>68</v>
      </c>
      <c r="B8" s="29" t="n">
        <f aca="false">BvA!$H$10</f>
        <v>39900</v>
      </c>
      <c r="C8" s="29" t="n">
        <f aca="false">BvA!$I$10</f>
        <v>40998</v>
      </c>
      <c r="D8" s="52" t="n">
        <f aca="false">IF(B8=0,0,BvA!$H$16/B8)</f>
        <v>110</v>
      </c>
      <c r="E8" s="52" t="n">
        <f aca="false">IF(C8=0,0,BvA!$I$16/C8)</f>
        <v>113.124054831943</v>
      </c>
      <c r="F8" s="40" t="n">
        <f aca="false">(C8-B8)*D8</f>
        <v>120780</v>
      </c>
      <c r="G8" s="40" t="n">
        <f aca="false">(E8-D8)*C8</f>
        <v>128080</v>
      </c>
      <c r="H8" s="40" t="n">
        <f aca="false">F8+G8</f>
        <v>248860</v>
      </c>
      <c r="I8" s="29" t="n">
        <f aca="false">ROUND(H8-BvA!$J$16,0)</f>
        <v>0</v>
      </c>
    </row>
    <row r="9" customFormat="false" ht="15" hidden="false" customHeight="false" outlineLevel="0" collapsed="false">
      <c r="A9" s="3" t="s">
        <v>102</v>
      </c>
      <c r="B9" s="35" t="n">
        <f aca="false">SUM(B6:B8)</f>
        <v>239400</v>
      </c>
      <c r="C9" s="35" t="n">
        <f aca="false">SUM(C6:C8)</f>
        <v>242838</v>
      </c>
      <c r="D9" s="53" t="n">
        <f aca="false">IF(B9=0,0,BvA!$H$17/B9)</f>
        <v>64</v>
      </c>
      <c r="E9" s="53" t="n">
        <f aca="false">IF(C9=0,0,BvA!$I$17/C9)</f>
        <v>63.7460364522851</v>
      </c>
      <c r="F9" s="42" t="n">
        <f aca="false">SUM(F6:F8)</f>
        <v>143748</v>
      </c>
      <c r="G9" s="42" t="n">
        <f aca="false">SUM(G6:G8)</f>
        <v>14612.0000000007</v>
      </c>
      <c r="H9" s="42" t="n">
        <f aca="false">SUM(H6:H8)</f>
        <v>158360.000000001</v>
      </c>
      <c r="I9" s="34" t="n">
        <f aca="false">ROUND(H9-BvA!$J$17,0)</f>
        <v>0</v>
      </c>
    </row>
    <row r="10" customFormat="false" ht="15" hidden="false" customHeight="false" outlineLevel="0" collapsed="false">
      <c r="A10" s="5" t="s">
        <v>103</v>
      </c>
      <c r="F10" s="40" t="n">
        <f aca="false">(C9-B9)*D9</f>
        <v>220032</v>
      </c>
    </row>
    <row r="11" customFormat="false" ht="15" hidden="false" customHeight="false" outlineLevel="0" collapsed="false">
      <c r="A11" s="5" t="s">
        <v>104</v>
      </c>
      <c r="F11" s="40" t="n">
        <f aca="false">F9-F10</f>
        <v>-76284</v>
      </c>
    </row>
    <row r="12" customFormat="false" ht="15" hidden="false" customHeight="false" outlineLevel="0" collapsed="false">
      <c r="A12" s="2" t="s">
        <v>105</v>
      </c>
    </row>
    <row r="14" customFormat="false" ht="42" hidden="false" customHeight="true" outlineLevel="0" collapsed="false">
      <c r="A14" s="25" t="s">
        <v>106</v>
      </c>
      <c r="B14" s="23" t="s">
        <v>20</v>
      </c>
      <c r="C14" s="23" t="s">
        <v>107</v>
      </c>
      <c r="D14" s="23" t="s">
        <v>59</v>
      </c>
      <c r="E14" s="23" t="s">
        <v>108</v>
      </c>
      <c r="F14" s="23" t="s">
        <v>109</v>
      </c>
      <c r="G14" s="23" t="s">
        <v>100</v>
      </c>
      <c r="H14" s="23" t="s">
        <v>101</v>
      </c>
    </row>
    <row r="15" customFormat="false" ht="15" hidden="false" customHeight="false" outlineLevel="0" collapsed="false">
      <c r="A15" s="5" t="s">
        <v>73</v>
      </c>
      <c r="B15" s="39" t="n">
        <f aca="false">BvA!$H$20</f>
        <v>5586000</v>
      </c>
      <c r="C15" s="39" t="n">
        <f aca="false">SUMPRODUCT(C6:C8,Assumptions!$D$11:$D$13)</f>
        <v>5634006</v>
      </c>
      <c r="D15" s="39" t="n">
        <f aca="false">BvA!$I$20</f>
        <v>5709304</v>
      </c>
      <c r="E15" s="40" t="n">
        <f aca="false">B15-C15</f>
        <v>-48006</v>
      </c>
      <c r="F15" s="40" t="n">
        <f aca="false">C15-D15</f>
        <v>-75298</v>
      </c>
      <c r="G15" s="40" t="n">
        <f aca="false">E15+F15</f>
        <v>-123304</v>
      </c>
      <c r="H15" s="29" t="n">
        <f aca="false">ROUND(G15-BvA!$J$20,0)</f>
        <v>0</v>
      </c>
    </row>
    <row r="16" customFormat="false" ht="15" hidden="false" customHeight="false" outlineLevel="0" collapsed="false">
      <c r="A16" s="5" t="s">
        <v>74</v>
      </c>
      <c r="B16" s="39" t="n">
        <f aca="false">BvA!$H$21</f>
        <v>1755600</v>
      </c>
      <c r="C16" s="39" t="n">
        <f aca="false">SUMPRODUCT(C6:C8,Assumptions!$E$11:$E$13)</f>
        <v>1765806</v>
      </c>
      <c r="D16" s="39" t="n">
        <f aca="false">BvA!$I$21</f>
        <v>1803614</v>
      </c>
      <c r="E16" s="40" t="n">
        <f aca="false">B16-C16</f>
        <v>-10206</v>
      </c>
      <c r="F16" s="40" t="n">
        <f aca="false">C16-D16</f>
        <v>-37808</v>
      </c>
      <c r="G16" s="40" t="n">
        <f aca="false">E16+F16</f>
        <v>-48014</v>
      </c>
      <c r="H16" s="29" t="n">
        <f aca="false">ROUND(G16-BvA!$J$21,0)</f>
        <v>0</v>
      </c>
    </row>
    <row r="17" customFormat="false" ht="15" hidden="false" customHeight="false" outlineLevel="0" collapsed="false">
      <c r="A17" s="5" t="s">
        <v>75</v>
      </c>
      <c r="B17" s="39" t="n">
        <f aca="false">BvA!$H$22</f>
        <v>689472</v>
      </c>
      <c r="C17" s="39" t="n">
        <f aca="false">BvA!$I$17*Assumptions!$B$20</f>
        <v>696598.2</v>
      </c>
      <c r="D17" s="39" t="n">
        <f aca="false">BvA!$I$22</f>
        <v>796074</v>
      </c>
      <c r="E17" s="40" t="n">
        <f aca="false">B17-C17</f>
        <v>-7126.19999999995</v>
      </c>
      <c r="F17" s="40" t="n">
        <f aca="false">C17-D17</f>
        <v>-99475.8000000001</v>
      </c>
      <c r="G17" s="40" t="n">
        <f aca="false">E17+F17</f>
        <v>-106602</v>
      </c>
      <c r="H17" s="29" t="n">
        <f aca="false">ROUND(G17-BvA!$J$22,0)</f>
        <v>0</v>
      </c>
    </row>
    <row r="18" customFormat="false" ht="15" hidden="false" customHeight="false" outlineLevel="0" collapsed="false">
      <c r="A18" s="3" t="s">
        <v>76</v>
      </c>
      <c r="B18" s="42" t="n">
        <f aca="false">SUM(B15:B17)</f>
        <v>8031072</v>
      </c>
      <c r="C18" s="42" t="n">
        <f aca="false">SUM(C15:C17)</f>
        <v>8096410.2</v>
      </c>
      <c r="D18" s="42" t="n">
        <f aca="false">SUM(D15:D17)</f>
        <v>8308992</v>
      </c>
      <c r="E18" s="42" t="n">
        <f aca="false">SUM(E15:E17)</f>
        <v>-65338.2</v>
      </c>
      <c r="F18" s="42" t="n">
        <f aca="false">SUM(F15:F17)</f>
        <v>-212581.8</v>
      </c>
      <c r="G18" s="42" t="n">
        <f aca="false">SUM(G15:G17)</f>
        <v>-277920</v>
      </c>
    </row>
    <row r="19" customFormat="false" ht="15" hidden="false" customHeight="false" outlineLevel="0" collapsed="false">
      <c r="A19" s="2" t="s">
        <v>110</v>
      </c>
    </row>
    <row r="21" customFormat="false" ht="30" hidden="false" customHeight="true" outlineLevel="0" collapsed="false">
      <c r="A21" s="25" t="s">
        <v>111</v>
      </c>
      <c r="B21" s="23" t="s">
        <v>112</v>
      </c>
      <c r="C21" s="23" t="s">
        <v>113</v>
      </c>
      <c r="D21" s="23" t="s">
        <v>114</v>
      </c>
      <c r="E21" s="23" t="s">
        <v>115</v>
      </c>
      <c r="F21" s="23" t="s">
        <v>116</v>
      </c>
      <c r="G21" s="23" t="s">
        <v>117</v>
      </c>
      <c r="H21" s="23" t="s">
        <v>118</v>
      </c>
    </row>
    <row r="22" customFormat="false" ht="15" hidden="false" customHeight="false" outlineLevel="0" collapsed="false">
      <c r="A22" s="43" t="s">
        <v>119</v>
      </c>
      <c r="B22" s="54" t="n">
        <f aca="false">BvA!$H$37</f>
        <v>1757284</v>
      </c>
      <c r="C22" s="55" t="n">
        <f aca="false">B22</f>
        <v>1757284</v>
      </c>
      <c r="D22" s="56" t="n">
        <v>0</v>
      </c>
      <c r="E22" s="56" t="n">
        <f aca="false">B22</f>
        <v>1757284</v>
      </c>
      <c r="F22" s="56" t="n">
        <v>0</v>
      </c>
      <c r="G22" s="56" t="n">
        <v>0</v>
      </c>
      <c r="H22" s="57" t="s">
        <v>20</v>
      </c>
    </row>
    <row r="23" customFormat="false" ht="15" hidden="false" customHeight="false" outlineLevel="0" collapsed="false">
      <c r="A23" s="5" t="s">
        <v>120</v>
      </c>
      <c r="B23" s="40" t="n">
        <f aca="false">G9</f>
        <v>14612.0000000007</v>
      </c>
      <c r="C23" s="40" t="n">
        <f aca="false">C22+B23</f>
        <v>1771896</v>
      </c>
      <c r="D23" s="40" t="n">
        <f aca="false">MIN(C22,C23)</f>
        <v>1757284</v>
      </c>
      <c r="E23" s="40" t="n">
        <v>0</v>
      </c>
      <c r="F23" s="40" t="n">
        <f aca="false">MAX(B23,0)</f>
        <v>14612.0000000007</v>
      </c>
      <c r="G23" s="40" t="n">
        <f aca="false">MAX(-B23,0)</f>
        <v>0</v>
      </c>
      <c r="H23" s="57" t="s">
        <v>120</v>
      </c>
    </row>
    <row r="24" customFormat="false" ht="15" hidden="false" customHeight="false" outlineLevel="0" collapsed="false">
      <c r="A24" s="5" t="s">
        <v>121</v>
      </c>
      <c r="B24" s="40" t="n">
        <f aca="false">F9+E18</f>
        <v>78409.8000000001</v>
      </c>
      <c r="C24" s="40" t="n">
        <f aca="false">C23+B24</f>
        <v>1850305.8</v>
      </c>
      <c r="D24" s="40" t="n">
        <f aca="false">MIN(C23,C24)</f>
        <v>1771896</v>
      </c>
      <c r="E24" s="40" t="n">
        <v>0</v>
      </c>
      <c r="F24" s="40" t="n">
        <f aca="false">MAX(B24,0)</f>
        <v>78409.8000000001</v>
      </c>
      <c r="G24" s="40" t="n">
        <f aca="false">MAX(-B24,0)</f>
        <v>0</v>
      </c>
      <c r="H24" s="57" t="s">
        <v>122</v>
      </c>
    </row>
    <row r="25" customFormat="false" ht="15" hidden="false" customHeight="false" outlineLevel="0" collapsed="false">
      <c r="A25" s="5" t="s">
        <v>123</v>
      </c>
      <c r="B25" s="40" t="n">
        <f aca="false">F15</f>
        <v>-75298</v>
      </c>
      <c r="C25" s="40" t="n">
        <f aca="false">C24+B25</f>
        <v>1775007.8</v>
      </c>
      <c r="D25" s="40" t="n">
        <f aca="false">MIN(C24,C25)</f>
        <v>1775007.8</v>
      </c>
      <c r="E25" s="40" t="n">
        <v>0</v>
      </c>
      <c r="F25" s="40" t="n">
        <f aca="false">MAX(B25,0)</f>
        <v>0</v>
      </c>
      <c r="G25" s="40" t="n">
        <f aca="false">MAX(-B25,0)</f>
        <v>75298</v>
      </c>
      <c r="H25" s="57" t="s">
        <v>124</v>
      </c>
    </row>
    <row r="26" customFormat="false" ht="15" hidden="false" customHeight="false" outlineLevel="0" collapsed="false">
      <c r="A26" s="5" t="s">
        <v>125</v>
      </c>
      <c r="B26" s="40" t="n">
        <f aca="false">F16</f>
        <v>-37808</v>
      </c>
      <c r="C26" s="40" t="n">
        <f aca="false">C25+B26</f>
        <v>1737199.8</v>
      </c>
      <c r="D26" s="40" t="n">
        <f aca="false">MIN(C25,C26)</f>
        <v>1737199.8</v>
      </c>
      <c r="E26" s="40" t="n">
        <v>0</v>
      </c>
      <c r="F26" s="40" t="n">
        <f aca="false">MAX(B26,0)</f>
        <v>0</v>
      </c>
      <c r="G26" s="40" t="n">
        <f aca="false">MAX(-B26,0)</f>
        <v>37808</v>
      </c>
      <c r="H26" s="57" t="s">
        <v>126</v>
      </c>
    </row>
    <row r="27" customFormat="false" ht="15" hidden="false" customHeight="false" outlineLevel="0" collapsed="false">
      <c r="A27" s="5" t="s">
        <v>127</v>
      </c>
      <c r="B27" s="40" t="n">
        <f aca="false">F17</f>
        <v>-99475.8000000001</v>
      </c>
      <c r="C27" s="40" t="n">
        <f aca="false">C26+B27</f>
        <v>1637724</v>
      </c>
      <c r="D27" s="40" t="n">
        <f aca="false">MIN(C26,C27)</f>
        <v>1637724</v>
      </c>
      <c r="E27" s="40" t="n">
        <v>0</v>
      </c>
      <c r="F27" s="40" t="n">
        <f aca="false">MAX(B27,0)</f>
        <v>0</v>
      </c>
      <c r="G27" s="40" t="n">
        <f aca="false">MAX(-B27,0)</f>
        <v>99475.8000000001</v>
      </c>
      <c r="H27" s="57" t="s">
        <v>127</v>
      </c>
    </row>
    <row r="28" customFormat="false" ht="15" hidden="false" customHeight="false" outlineLevel="0" collapsed="false">
      <c r="A28" s="5" t="s">
        <v>80</v>
      </c>
      <c r="B28" s="39" t="n">
        <f aca="false">BvA!$J$28</f>
        <v>64100</v>
      </c>
      <c r="C28" s="40" t="n">
        <f aca="false">C27+B28</f>
        <v>1701824</v>
      </c>
      <c r="D28" s="40" t="n">
        <f aca="false">MIN(C27,C28)</f>
        <v>1637724</v>
      </c>
      <c r="E28" s="40" t="n">
        <v>0</v>
      </c>
      <c r="F28" s="40" t="n">
        <f aca="false">MAX(B28,0)</f>
        <v>64100</v>
      </c>
      <c r="G28" s="40" t="n">
        <f aca="false">MAX(-B28,0)</f>
        <v>0</v>
      </c>
      <c r="H28" s="57" t="s">
        <v>128</v>
      </c>
    </row>
    <row r="29" customFormat="false" ht="15" hidden="false" customHeight="false" outlineLevel="0" collapsed="false">
      <c r="A29" s="5" t="s">
        <v>81</v>
      </c>
      <c r="B29" s="39" t="n">
        <f aca="false">BvA!$J$29</f>
        <v>-102756</v>
      </c>
      <c r="C29" s="40" t="n">
        <f aca="false">C28+B29</f>
        <v>1599068</v>
      </c>
      <c r="D29" s="40" t="n">
        <f aca="false">MIN(C28,C29)</f>
        <v>1599068</v>
      </c>
      <c r="E29" s="40" t="n">
        <v>0</v>
      </c>
      <c r="F29" s="40" t="n">
        <f aca="false">MAX(B29,0)</f>
        <v>0</v>
      </c>
      <c r="G29" s="40" t="n">
        <f aca="false">MAX(-B29,0)</f>
        <v>102756</v>
      </c>
      <c r="H29" s="57" t="s">
        <v>129</v>
      </c>
    </row>
    <row r="30" customFormat="false" ht="15" hidden="false" customHeight="false" outlineLevel="0" collapsed="false">
      <c r="A30" s="5" t="s">
        <v>130</v>
      </c>
      <c r="B30" s="39" t="n">
        <f aca="false">BvA!$J$36-BvA!$J$28-BvA!$J$29</f>
        <v>-66450</v>
      </c>
      <c r="C30" s="40" t="n">
        <f aca="false">C29+B30</f>
        <v>1532618</v>
      </c>
      <c r="D30" s="40" t="n">
        <f aca="false">MIN(C29,C30)</f>
        <v>1532618</v>
      </c>
      <c r="E30" s="40" t="n">
        <v>0</v>
      </c>
      <c r="F30" s="40" t="n">
        <f aca="false">MAX(B30,0)</f>
        <v>0</v>
      </c>
      <c r="G30" s="40" t="n">
        <f aca="false">MAX(-B30,0)</f>
        <v>66450</v>
      </c>
      <c r="H30" s="57" t="s">
        <v>131</v>
      </c>
    </row>
    <row r="31" customFormat="false" ht="15" hidden="false" customHeight="false" outlineLevel="0" collapsed="false">
      <c r="A31" s="43" t="s">
        <v>132</v>
      </c>
      <c r="B31" s="55" t="n">
        <f aca="false">C30</f>
        <v>1532618</v>
      </c>
      <c r="C31" s="55" t="n">
        <f aca="false">B31</f>
        <v>1532618</v>
      </c>
      <c r="D31" s="56" t="n">
        <v>0</v>
      </c>
      <c r="E31" s="56" t="n">
        <f aca="false">B31</f>
        <v>1532618</v>
      </c>
      <c r="F31" s="56" t="n">
        <v>0</v>
      </c>
      <c r="G31" s="56" t="n">
        <v>0</v>
      </c>
      <c r="H31" s="57" t="s">
        <v>59</v>
      </c>
    </row>
    <row r="32" customFormat="false" ht="15" hidden="false" customHeight="false" outlineLevel="0" collapsed="false">
      <c r="A32" s="3" t="s">
        <v>133</v>
      </c>
      <c r="B32" s="29" t="n">
        <f aca="false">ROUND(B31-BvA!$I$37,0)</f>
        <v>0</v>
      </c>
    </row>
    <row r="34" customFormat="false" ht="23.85" hidden="false" customHeight="false" outlineLevel="0" collapsed="false">
      <c r="A34" s="25" t="s">
        <v>134</v>
      </c>
      <c r="B34" s="23" t="s">
        <v>60</v>
      </c>
      <c r="C34" s="23" t="s">
        <v>61</v>
      </c>
      <c r="D34" s="23" t="s">
        <v>135</v>
      </c>
      <c r="E34" s="23" t="s">
        <v>136</v>
      </c>
    </row>
    <row r="35" customFormat="false" ht="15" hidden="false" customHeight="false" outlineLevel="0" collapsed="false">
      <c r="A35" s="58" t="str">
        <f aca="false">BvA!$A$20</f>
        <v>Materials</v>
      </c>
      <c r="B35" s="39" t="n">
        <f aca="false">BvA!$J$20</f>
        <v>-123304</v>
      </c>
      <c r="C35" s="59" t="n">
        <f aca="false">BvA!$K$20</f>
        <v>-0.0220737558181167</v>
      </c>
      <c r="D35" s="40" t="n">
        <f aca="false">MAX(B35,0)</f>
        <v>0</v>
      </c>
      <c r="E35" s="40" t="n">
        <f aca="false">MIN(B35,0)</f>
        <v>-123304</v>
      </c>
    </row>
    <row r="36" customFormat="false" ht="15" hidden="false" customHeight="false" outlineLevel="0" collapsed="false">
      <c r="A36" s="58" t="str">
        <f aca="false">BvA!$A$21</f>
        <v>Direct Labor</v>
      </c>
      <c r="B36" s="39" t="n">
        <f aca="false">BvA!$J$21</f>
        <v>-48014</v>
      </c>
      <c r="C36" s="59" t="n">
        <f aca="false">BvA!$K$21</f>
        <v>-0.0273490544543176</v>
      </c>
      <c r="D36" s="40" t="n">
        <f aca="false">MAX(B36,0)</f>
        <v>0</v>
      </c>
      <c r="E36" s="40" t="n">
        <f aca="false">MIN(B36,0)</f>
        <v>-48014</v>
      </c>
    </row>
    <row r="37" customFormat="false" ht="15" hidden="false" customHeight="false" outlineLevel="0" collapsed="false">
      <c r="A37" s="58" t="str">
        <f aca="false">BvA!$A$22</f>
        <v>Freight &amp; Fulfillment</v>
      </c>
      <c r="B37" s="39" t="n">
        <f aca="false">BvA!$J$22</f>
        <v>-106602</v>
      </c>
      <c r="C37" s="59" t="n">
        <f aca="false">BvA!$K$22</f>
        <v>-0.154613965469229</v>
      </c>
      <c r="D37" s="40" t="n">
        <f aca="false">MAX(B37,0)</f>
        <v>0</v>
      </c>
      <c r="E37" s="40" t="n">
        <f aca="false">MIN(B37,0)</f>
        <v>-106602</v>
      </c>
    </row>
    <row r="38" customFormat="false" ht="15" hidden="false" customHeight="false" outlineLevel="0" collapsed="false">
      <c r="A38" s="58" t="str">
        <f aca="false">BvA!$A$28</f>
        <v>Salaries &amp; Benefits</v>
      </c>
      <c r="B38" s="39" t="n">
        <f aca="false">BvA!$J$28</f>
        <v>64100</v>
      </c>
      <c r="C38" s="59" t="n">
        <f aca="false">BvA!$K$28</f>
        <v>0.0245002484424569</v>
      </c>
      <c r="D38" s="40" t="n">
        <f aca="false">MAX(B38,0)</f>
        <v>64100</v>
      </c>
      <c r="E38" s="40" t="n">
        <f aca="false">MIN(B38,0)</f>
        <v>0</v>
      </c>
    </row>
    <row r="39" customFormat="false" ht="15" hidden="false" customHeight="false" outlineLevel="0" collapsed="false">
      <c r="A39" s="58" t="str">
        <f aca="false">BvA!$A$29</f>
        <v>Marketing &amp; Advertising</v>
      </c>
      <c r="B39" s="39" t="n">
        <f aca="false">BvA!$J$29</f>
        <v>-102756</v>
      </c>
      <c r="C39" s="59" t="n">
        <f aca="false">BvA!$K$29</f>
        <v>-0.0745178919521025</v>
      </c>
      <c r="D39" s="40" t="n">
        <f aca="false">MAX(B39,0)</f>
        <v>0</v>
      </c>
      <c r="E39" s="40" t="n">
        <f aca="false">MIN(B39,0)</f>
        <v>-102756</v>
      </c>
    </row>
    <row r="40" customFormat="false" ht="15" hidden="false" customHeight="false" outlineLevel="0" collapsed="false">
      <c r="A40" s="58" t="str">
        <f aca="false">BvA!$A$30</f>
        <v>Rent &amp; Utilities</v>
      </c>
      <c r="B40" s="39" t="n">
        <f aca="false">BvA!$J$30</f>
        <v>-6300</v>
      </c>
      <c r="C40" s="59" t="n">
        <f aca="false">BvA!$K$30</f>
        <v>-0.0112903225806452</v>
      </c>
      <c r="D40" s="40" t="n">
        <f aca="false">MAX(B40,0)</f>
        <v>0</v>
      </c>
      <c r="E40" s="40" t="n">
        <f aca="false">MIN(B40,0)</f>
        <v>-6300</v>
      </c>
    </row>
    <row r="41" customFormat="false" ht="15" hidden="false" customHeight="false" outlineLevel="0" collapsed="false">
      <c r="A41" s="58" t="str">
        <f aca="false">BvA!$A$31</f>
        <v>Software &amp; IT</v>
      </c>
      <c r="B41" s="39" t="n">
        <f aca="false">BvA!$J$31</f>
        <v>-33970</v>
      </c>
      <c r="C41" s="59" t="n">
        <f aca="false">BvA!$K$31</f>
        <v>-0.099327485380117</v>
      </c>
      <c r="D41" s="40" t="n">
        <f aca="false">MAX(B41,0)</f>
        <v>0</v>
      </c>
      <c r="E41" s="40" t="n">
        <f aca="false">MIN(B41,0)</f>
        <v>-33970</v>
      </c>
    </row>
    <row r="42" customFormat="false" ht="15" hidden="false" customHeight="false" outlineLevel="0" collapsed="false">
      <c r="A42" s="58" t="str">
        <f aca="false">BvA!$A$32</f>
        <v>Professional Fees</v>
      </c>
      <c r="B42" s="39" t="n">
        <f aca="false">BvA!$J$32</f>
        <v>-44800</v>
      </c>
      <c r="C42" s="59" t="n">
        <f aca="false">BvA!$K$32</f>
        <v>-0.192274678111588</v>
      </c>
      <c r="D42" s="40" t="n">
        <f aca="false">MAX(B42,0)</f>
        <v>0</v>
      </c>
      <c r="E42" s="40" t="n">
        <f aca="false">MIN(B42,0)</f>
        <v>-44800</v>
      </c>
    </row>
    <row r="43" customFormat="false" ht="15" hidden="false" customHeight="false" outlineLevel="0" collapsed="false">
      <c r="A43" s="58" t="str">
        <f aca="false">BvA!$A$33</f>
        <v>Travel &amp; Entertainment</v>
      </c>
      <c r="B43" s="39" t="n">
        <f aca="false">BvA!$J$33</f>
        <v>25600</v>
      </c>
      <c r="C43" s="59" t="n">
        <f aca="false">BvA!$K$33</f>
        <v>0.18962962962963</v>
      </c>
      <c r="D43" s="40" t="n">
        <f aca="false">MAX(B43,0)</f>
        <v>25600</v>
      </c>
      <c r="E43" s="40" t="n">
        <f aca="false">MIN(B43,0)</f>
        <v>0</v>
      </c>
    </row>
    <row r="44" customFormat="false" ht="15" hidden="false" customHeight="false" outlineLevel="0" collapsed="false">
      <c r="A44" s="58" t="str">
        <f aca="false">BvA!$A$34</f>
        <v>Insurance</v>
      </c>
      <c r="B44" s="39" t="n">
        <f aca="false">BvA!$J$34</f>
        <v>-2880</v>
      </c>
      <c r="C44" s="59" t="n">
        <f aca="false">BvA!$K$34</f>
        <v>-0.0266666666666667</v>
      </c>
      <c r="D44" s="40" t="n">
        <f aca="false">MAX(B44,0)</f>
        <v>0</v>
      </c>
      <c r="E44" s="40" t="n">
        <f aca="false">MIN(B44,0)</f>
        <v>-2880</v>
      </c>
    </row>
    <row r="45" customFormat="false" ht="15" hidden="false" customHeight="false" outlineLevel="0" collapsed="false">
      <c r="A45" s="58" t="str">
        <f aca="false">BvA!$A$35</f>
        <v>Other G&amp;A</v>
      </c>
      <c r="B45" s="39" t="n">
        <f aca="false">BvA!$J$35</f>
        <v>-4100</v>
      </c>
      <c r="C45" s="59" t="n">
        <f aca="false">BvA!$K$35</f>
        <v>-0.0253086419753086</v>
      </c>
      <c r="D45" s="40" t="n">
        <f aca="false">MAX(B45,0)</f>
        <v>0</v>
      </c>
      <c r="E45" s="40" t="n">
        <f aca="false">MIN(B45,0)</f>
        <v>-4100</v>
      </c>
    </row>
  </sheetData>
  <conditionalFormatting sqref="B6:I46">
    <cfRule type="expression" priority="2" aboveAverage="0" equalAverage="0" bottom="0" percent="0" rank="0" text="" dxfId="5">
      <formula>AND(ISNUMBER(B6),B6&lt;0)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FA8"/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3"/>
    <col collapsed="false" customWidth="true" hidden="false" outlineLevel="0" max="4" min="4" style="0" width="12"/>
    <col collapsed="false" customWidth="true" hidden="false" outlineLevel="0" max="6" min="5" style="0" width="9"/>
    <col collapsed="false" customWidth="true" hidden="false" outlineLevel="0" max="7" min="7" style="0" width="16"/>
    <col collapsed="false" customWidth="true" hidden="false" outlineLevel="0" max="8" min="8" style="0" width="62"/>
    <col collapsed="false" customWidth="true" hidden="false" outlineLevel="0" max="9" min="9" style="0" width="48"/>
  </cols>
  <sheetData>
    <row r="1" customFormat="false" ht="17.35" hidden="false" customHeight="false" outlineLevel="0" collapsed="false">
      <c r="A1" s="19" t="s">
        <v>137</v>
      </c>
    </row>
    <row r="2" customFormat="false" ht="15" hidden="false" customHeight="false" outlineLevel="0" collapsed="false">
      <c r="A2" s="2" t="s">
        <v>138</v>
      </c>
    </row>
    <row r="4" customFormat="false" ht="15" hidden="false" customHeight="false" outlineLevel="0" collapsed="false">
      <c r="A4" s="25" t="s">
        <v>139</v>
      </c>
      <c r="B4" s="23"/>
      <c r="C4" s="23"/>
      <c r="D4" s="23"/>
      <c r="E4" s="23"/>
      <c r="F4" s="23"/>
      <c r="G4" s="23"/>
      <c r="H4" s="23"/>
      <c r="I4" s="23"/>
    </row>
    <row r="5" customFormat="false" ht="30" hidden="false" customHeight="true" outlineLevel="0" collapsed="false">
      <c r="A5" s="18" t="str">
        <f aca="false">"YTD revenue of "&amp;TEXT(BvA!$I$17,"$#,##0")&amp;" is "&amp;TEXT(ABS(BvA!$K$17),"0.0%")&amp;IF(BvA!$J$17&gt;=0," ahead of"," behind")&amp;" budget ("&amp;TEXT(ABS(BvA!$J$17),"$#,##0")&amp;"). Price contributed "&amp;TEXT('Variance Analysis'!G9,"$#,##0;-$#,##0")&amp;" and volume/mix "&amp;TEXT('Variance Analysis'!F9,"$#,##0;-$#,##0")&amp;"."</f>
        <v>YTD revenue of $15,479,960 is 1.0% ahead of budget ($158,360). Price contributed $14,612 and volume/mix $143,748.</v>
      </c>
      <c r="B5" s="18"/>
      <c r="C5" s="18"/>
      <c r="D5" s="18"/>
      <c r="E5" s="18"/>
      <c r="F5" s="18"/>
      <c r="G5" s="18"/>
      <c r="H5" s="18"/>
      <c r="I5" s="18"/>
    </row>
    <row r="6" customFormat="false" ht="30" hidden="false" customHeight="true" outlineLevel="0" collapsed="false">
      <c r="A6" s="18" t="str">
        <f aca="false">"YTD EBITDA of "&amp;TEXT(BvA!$I$37,"$#,##0")&amp;" is "&amp;TEXT(ABS(BvA!$J$37),"$#,##0")&amp;" ("&amp;TEXT(ABS(BvA!$K$37),"0.0%")&amp;")"&amp;IF(BvA!$J$37&gt;=0," above"," below")&amp;" budget; EBITDA margin is "&amp;TEXT(BvA!$I$38,"0.0%")&amp;" vs. "&amp;TEXT(BvA!$H$38,"0.0%")&amp;" budgeted."</f>
        <v>YTD EBITDA of $1,532,618 is $224,666 (12.8%) below budget; EBITDA margin is 9.9% vs. 11.5% budgeted.</v>
      </c>
      <c r="B6" s="18"/>
      <c r="C6" s="18"/>
      <c r="D6" s="18"/>
      <c r="E6" s="18"/>
      <c r="F6" s="18"/>
      <c r="G6" s="18"/>
      <c r="H6" s="18"/>
      <c r="I6" s="18"/>
    </row>
    <row r="7" customFormat="false" ht="30" hidden="false" customHeight="true" outlineLevel="0" collapsed="false">
      <c r="A7" s="18" t="str">
        <f aca="false">"Gross margin of "&amp;TEXT(BvA!$I$25,"0.0%")&amp;" compares with "&amp;TEXT(BvA!$H$25,"0.0%")&amp;" in budget. COGS rate effects cost "&amp;TEXT(-'Variance Analysis'!F18,"$#,##0;-$#,##0")&amp;" (materials, overtime, freight) after adjusting for volume."</f>
        <v>Gross margin of 46.3% compares with 47.6% in budget. COGS rate effects cost $212,582 (materials, overtime, freight) after adjusting for volume.</v>
      </c>
      <c r="B7" s="18"/>
      <c r="C7" s="18"/>
      <c r="D7" s="18"/>
      <c r="E7" s="18"/>
      <c r="F7" s="18"/>
      <c r="G7" s="18"/>
      <c r="H7" s="18"/>
      <c r="I7" s="18"/>
    </row>
    <row r="8" customFormat="false" ht="30" hidden="false" customHeight="true" outlineLevel="0" collapsed="false">
      <c r="A8" s="18" t="str">
        <f aca="false">"Full-year outlook (9+3): revenue "&amp;TEXT(BvA!$P$17,"$#,##0")&amp;" vs. budget "&amp;TEXT(BvA!$O$17,"$#,##0")&amp;"; EBITDA "&amp;TEXT(BvA!$P$37,"$#,##0")&amp;" vs. budget "&amp;TEXT(BvA!$O$37,"$#,##0")&amp;" ("&amp;TEXT(BvA!$R$37,"0.0%;-0.0%")&amp;")."</f>
        <v>Full-year outlook (9+3): revenue $23,440,686 vs. budget $23,040,000; EBITDA $3,060,196 vs. budget $3,353,650 (-8.8%).</v>
      </c>
      <c r="B8" s="18"/>
      <c r="C8" s="18"/>
      <c r="D8" s="18"/>
      <c r="E8" s="18"/>
      <c r="F8" s="18"/>
      <c r="G8" s="18"/>
      <c r="H8" s="18"/>
      <c r="I8" s="18"/>
    </row>
    <row r="10" customFormat="false" ht="15" hidden="false" customHeight="false" outlineLevel="0" collapsed="false">
      <c r="A10" s="23" t="s">
        <v>140</v>
      </c>
      <c r="B10" s="23" t="s">
        <v>141</v>
      </c>
      <c r="C10" s="23" t="s">
        <v>142</v>
      </c>
      <c r="D10" s="23" t="s">
        <v>60</v>
      </c>
      <c r="E10" s="23" t="s">
        <v>61</v>
      </c>
      <c r="F10" s="23" t="s">
        <v>62</v>
      </c>
      <c r="G10" s="23" t="s">
        <v>143</v>
      </c>
      <c r="H10" s="23" t="s">
        <v>144</v>
      </c>
      <c r="I10" s="23" t="s">
        <v>145</v>
      </c>
    </row>
    <row r="11" customFormat="false" ht="55.5" hidden="false" customHeight="true" outlineLevel="0" collapsed="false">
      <c r="A11" s="60" t="str">
        <f aca="false">BvA!$A$14</f>
        <v>Kitchenware</v>
      </c>
      <c r="B11" s="61" t="n">
        <f aca="false">BvA!$H$14</f>
        <v>5745600</v>
      </c>
      <c r="C11" s="61" t="n">
        <f aca="false">BvA!$I$14</f>
        <v>5989602</v>
      </c>
      <c r="D11" s="61" t="n">
        <f aca="false">BvA!$J$14</f>
        <v>244002</v>
      </c>
      <c r="E11" s="62" t="n">
        <f aca="false">BvA!$K$14</f>
        <v>0.0424676274018379</v>
      </c>
      <c r="F11" s="60" t="str">
        <f aca="false">BvA!$L$14</f>
        <v>Fav</v>
      </c>
      <c r="G11" s="63" t="s">
        <v>146</v>
      </c>
      <c r="H11" s="63" t="s">
        <v>147</v>
      </c>
      <c r="I11" s="63" t="s">
        <v>148</v>
      </c>
    </row>
    <row r="12" customFormat="false" ht="55.5" hidden="false" customHeight="true" outlineLevel="0" collapsed="false">
      <c r="A12" s="60" t="str">
        <f aca="false">BvA!$A$15</f>
        <v>Home Textiles</v>
      </c>
      <c r="B12" s="61" t="n">
        <f aca="false">BvA!$H$15</f>
        <v>5187000</v>
      </c>
      <c r="C12" s="61" t="n">
        <f aca="false">BvA!$I$15</f>
        <v>4852498</v>
      </c>
      <c r="D12" s="61" t="n">
        <f aca="false">BvA!$J$15</f>
        <v>-334502</v>
      </c>
      <c r="E12" s="62" t="n">
        <f aca="false">BvA!$K$15</f>
        <v>-0.0644885290148448</v>
      </c>
      <c r="F12" s="60" t="str">
        <f aca="false">BvA!$L$15</f>
        <v>Unfav</v>
      </c>
      <c r="G12" s="63" t="s">
        <v>149</v>
      </c>
      <c r="H12" s="63" t="s">
        <v>150</v>
      </c>
      <c r="I12" s="63" t="s">
        <v>151</v>
      </c>
    </row>
    <row r="13" customFormat="false" ht="55.5" hidden="false" customHeight="true" outlineLevel="0" collapsed="false">
      <c r="A13" s="60" t="str">
        <f aca="false">BvA!$A$16</f>
        <v>Home Decor &amp; Lighting</v>
      </c>
      <c r="B13" s="61" t="n">
        <f aca="false">BvA!$H$16</f>
        <v>4389000</v>
      </c>
      <c r="C13" s="61" t="n">
        <f aca="false">BvA!$I$16</f>
        <v>4637860</v>
      </c>
      <c r="D13" s="61" t="n">
        <f aca="false">BvA!$J$16</f>
        <v>248860</v>
      </c>
      <c r="E13" s="62" t="n">
        <f aca="false">BvA!$K$16</f>
        <v>0.0567008430166325</v>
      </c>
      <c r="F13" s="60" t="str">
        <f aca="false">BvA!$L$16</f>
        <v>Fav</v>
      </c>
      <c r="G13" s="63" t="s">
        <v>120</v>
      </c>
      <c r="H13" s="63" t="s">
        <v>152</v>
      </c>
      <c r="I13" s="63" t="s">
        <v>153</v>
      </c>
    </row>
    <row r="14" customFormat="false" ht="55.5" hidden="false" customHeight="true" outlineLevel="0" collapsed="false">
      <c r="A14" s="60" t="str">
        <f aca="false">BvA!$A$20</f>
        <v>Materials</v>
      </c>
      <c r="B14" s="61" t="n">
        <f aca="false">BvA!$H$20</f>
        <v>5586000</v>
      </c>
      <c r="C14" s="61" t="n">
        <f aca="false">BvA!$I$20</f>
        <v>5709304</v>
      </c>
      <c r="D14" s="61" t="n">
        <f aca="false">BvA!$J$20</f>
        <v>-123304</v>
      </c>
      <c r="E14" s="62" t="n">
        <f aca="false">BvA!$K$20</f>
        <v>-0.0220737558181167</v>
      </c>
      <c r="F14" s="60" t="str">
        <f aca="false">BvA!$L$20</f>
        <v>Unfav</v>
      </c>
      <c r="G14" s="63" t="s">
        <v>154</v>
      </c>
      <c r="H14" s="63" t="s">
        <v>155</v>
      </c>
      <c r="I14" s="63" t="s">
        <v>156</v>
      </c>
    </row>
    <row r="15" customFormat="false" ht="55.5" hidden="false" customHeight="true" outlineLevel="0" collapsed="false">
      <c r="A15" s="60" t="str">
        <f aca="false">BvA!$A$21</f>
        <v>Direct Labor</v>
      </c>
      <c r="B15" s="61" t="n">
        <f aca="false">BvA!$H$21</f>
        <v>1755600</v>
      </c>
      <c r="C15" s="61" t="n">
        <f aca="false">BvA!$I$21</f>
        <v>1803614</v>
      </c>
      <c r="D15" s="61" t="n">
        <f aca="false">BvA!$J$21</f>
        <v>-48014</v>
      </c>
      <c r="E15" s="62" t="n">
        <f aca="false">BvA!$K$21</f>
        <v>-0.0273490544543176</v>
      </c>
      <c r="F15" s="60" t="str">
        <f aca="false">BvA!$L$21</f>
        <v>Unfav</v>
      </c>
      <c r="G15" s="63" t="s">
        <v>157</v>
      </c>
      <c r="H15" s="63" t="s">
        <v>158</v>
      </c>
      <c r="I15" s="63" t="s">
        <v>159</v>
      </c>
    </row>
    <row r="16" customFormat="false" ht="55.5" hidden="false" customHeight="true" outlineLevel="0" collapsed="false">
      <c r="A16" s="60" t="str">
        <f aca="false">BvA!$A$22</f>
        <v>Freight &amp; Fulfillment</v>
      </c>
      <c r="B16" s="61" t="n">
        <f aca="false">BvA!$H$22</f>
        <v>689472</v>
      </c>
      <c r="C16" s="61" t="n">
        <f aca="false">BvA!$I$22</f>
        <v>796074</v>
      </c>
      <c r="D16" s="61" t="n">
        <f aca="false">BvA!$J$22</f>
        <v>-106602</v>
      </c>
      <c r="E16" s="62" t="n">
        <f aca="false">BvA!$K$22</f>
        <v>-0.154613965469229</v>
      </c>
      <c r="F16" s="60" t="str">
        <f aca="false">BvA!$L$22</f>
        <v>Unfav</v>
      </c>
      <c r="G16" s="63" t="s">
        <v>160</v>
      </c>
      <c r="H16" s="63" t="s">
        <v>161</v>
      </c>
      <c r="I16" s="63" t="s">
        <v>162</v>
      </c>
    </row>
    <row r="17" customFormat="false" ht="55.5" hidden="false" customHeight="true" outlineLevel="0" collapsed="false">
      <c r="A17" s="60" t="str">
        <f aca="false">BvA!$A$28</f>
        <v>Salaries &amp; Benefits</v>
      </c>
      <c r="B17" s="61" t="n">
        <f aca="false">BvA!$H$28</f>
        <v>2616300</v>
      </c>
      <c r="C17" s="61" t="n">
        <f aca="false">BvA!$I$28</f>
        <v>2552200</v>
      </c>
      <c r="D17" s="61" t="n">
        <f aca="false">BvA!$J$28</f>
        <v>64100</v>
      </c>
      <c r="E17" s="62" t="n">
        <f aca="false">BvA!$K$28</f>
        <v>0.0245002484424569</v>
      </c>
      <c r="F17" s="60" t="str">
        <f aca="false">BvA!$L$28</f>
        <v>Fav</v>
      </c>
      <c r="G17" s="63" t="s">
        <v>163</v>
      </c>
      <c r="H17" s="63" t="s">
        <v>164</v>
      </c>
      <c r="I17" s="63" t="s">
        <v>165</v>
      </c>
    </row>
    <row r="18" customFormat="false" ht="55.5" hidden="false" customHeight="true" outlineLevel="0" collapsed="false">
      <c r="A18" s="60" t="str">
        <f aca="false">BvA!$A$29</f>
        <v>Marketing &amp; Advertising</v>
      </c>
      <c r="B18" s="61" t="n">
        <f aca="false">BvA!$H$29</f>
        <v>1378944</v>
      </c>
      <c r="C18" s="61" t="n">
        <f aca="false">BvA!$I$29</f>
        <v>1481700</v>
      </c>
      <c r="D18" s="61" t="n">
        <f aca="false">BvA!$J$29</f>
        <v>-102756</v>
      </c>
      <c r="E18" s="62" t="n">
        <f aca="false">BvA!$K$29</f>
        <v>-0.0745178919521025</v>
      </c>
      <c r="F18" s="60" t="str">
        <f aca="false">BvA!$L$29</f>
        <v>Unfav</v>
      </c>
      <c r="G18" s="63" t="s">
        <v>166</v>
      </c>
      <c r="H18" s="63" t="s">
        <v>167</v>
      </c>
      <c r="I18" s="63" t="s">
        <v>168</v>
      </c>
    </row>
    <row r="19" customFormat="false" ht="55.5" hidden="false" customHeight="true" outlineLevel="0" collapsed="false">
      <c r="A19" s="60" t="str">
        <f aca="false">BvA!$A$31</f>
        <v>Software &amp; IT</v>
      </c>
      <c r="B19" s="61" t="n">
        <f aca="false">BvA!$H$31</f>
        <v>342000</v>
      </c>
      <c r="C19" s="61" t="n">
        <f aca="false">BvA!$I$31</f>
        <v>375970</v>
      </c>
      <c r="D19" s="61" t="n">
        <f aca="false">BvA!$J$31</f>
        <v>-33970</v>
      </c>
      <c r="E19" s="62" t="n">
        <f aca="false">BvA!$K$31</f>
        <v>-0.099327485380117</v>
      </c>
      <c r="F19" s="60" t="str">
        <f aca="false">BvA!$L$31</f>
        <v>Unfav</v>
      </c>
      <c r="G19" s="63" t="s">
        <v>169</v>
      </c>
      <c r="H19" s="63" t="s">
        <v>170</v>
      </c>
      <c r="I19" s="63" t="s">
        <v>171</v>
      </c>
    </row>
    <row r="20" customFormat="false" ht="55.5" hidden="false" customHeight="true" outlineLevel="0" collapsed="false">
      <c r="A20" s="60" t="str">
        <f aca="false">BvA!$A$32</f>
        <v>Professional Fees</v>
      </c>
      <c r="B20" s="61" t="n">
        <f aca="false">BvA!$H$32</f>
        <v>233000</v>
      </c>
      <c r="C20" s="61" t="n">
        <f aca="false">BvA!$I$32</f>
        <v>277800</v>
      </c>
      <c r="D20" s="61" t="n">
        <f aca="false">BvA!$J$32</f>
        <v>-44800</v>
      </c>
      <c r="E20" s="62" t="n">
        <f aca="false">BvA!$K$32</f>
        <v>-0.192274678111588</v>
      </c>
      <c r="F20" s="60" t="str">
        <f aca="false">BvA!$L$32</f>
        <v>Unfav</v>
      </c>
      <c r="G20" s="63" t="s">
        <v>172</v>
      </c>
      <c r="H20" s="63" t="s">
        <v>173</v>
      </c>
      <c r="I20" s="63" t="s">
        <v>174</v>
      </c>
    </row>
    <row r="21" customFormat="false" ht="55.5" hidden="false" customHeight="true" outlineLevel="0" collapsed="false">
      <c r="A21" s="60" t="str">
        <f aca="false">BvA!$A$33</f>
        <v>Travel &amp; Entertainment</v>
      </c>
      <c r="B21" s="61" t="n">
        <f aca="false">BvA!$H$33</f>
        <v>135000</v>
      </c>
      <c r="C21" s="61" t="n">
        <f aca="false">BvA!$I$33</f>
        <v>109400</v>
      </c>
      <c r="D21" s="61" t="n">
        <f aca="false">BvA!$J$33</f>
        <v>25600</v>
      </c>
      <c r="E21" s="62" t="n">
        <f aca="false">BvA!$K$33</f>
        <v>0.18962962962963</v>
      </c>
      <c r="F21" s="60" t="str">
        <f aca="false">BvA!$L$33</f>
        <v>Fav</v>
      </c>
      <c r="G21" s="63" t="s">
        <v>175</v>
      </c>
      <c r="H21" s="63" t="s">
        <v>176</v>
      </c>
      <c r="I21" s="63" t="s">
        <v>177</v>
      </c>
    </row>
    <row r="22" customFormat="false" ht="55.5" hidden="false" customHeight="true" outlineLevel="0" collapsed="false">
      <c r="A22" s="60" t="str">
        <f aca="false">BvA!$A$30</f>
        <v>Rent &amp; Utilities</v>
      </c>
      <c r="B22" s="61" t="n">
        <f aca="false">BvA!$H$30</f>
        <v>558000</v>
      </c>
      <c r="C22" s="61" t="n">
        <f aca="false">BvA!$I$30</f>
        <v>564300</v>
      </c>
      <c r="D22" s="61" t="n">
        <f aca="false">BvA!$J$30</f>
        <v>-6300</v>
      </c>
      <c r="E22" s="62" t="n">
        <f aca="false">BvA!$K$30</f>
        <v>-0.0112903225806452</v>
      </c>
      <c r="F22" s="60" t="str">
        <f aca="false">BvA!$L$30</f>
        <v>Unfav</v>
      </c>
      <c r="G22" s="63" t="s">
        <v>178</v>
      </c>
      <c r="H22" s="63" t="s">
        <v>179</v>
      </c>
      <c r="I22" s="63" t="s">
        <v>180</v>
      </c>
    </row>
    <row r="23" customFormat="false" ht="55.5" hidden="false" customHeight="true" outlineLevel="0" collapsed="false">
      <c r="A23" s="60" t="str">
        <f aca="false">BvA!$A$34</f>
        <v>Insurance</v>
      </c>
      <c r="B23" s="61" t="n">
        <f aca="false">BvA!$H$34</f>
        <v>108000</v>
      </c>
      <c r="C23" s="61" t="n">
        <f aca="false">BvA!$I$34</f>
        <v>110880</v>
      </c>
      <c r="D23" s="61" t="n">
        <f aca="false">BvA!$J$34</f>
        <v>-2880</v>
      </c>
      <c r="E23" s="62" t="n">
        <f aca="false">BvA!$K$34</f>
        <v>-0.0266666666666667</v>
      </c>
      <c r="F23" s="60" t="str">
        <f aca="false">BvA!$L$34</f>
        <v>Unfav</v>
      </c>
      <c r="G23" s="63" t="s">
        <v>178</v>
      </c>
      <c r="H23" s="63" t="s">
        <v>181</v>
      </c>
      <c r="I23" s="63" t="s">
        <v>180</v>
      </c>
    </row>
    <row r="24" customFormat="false" ht="55.5" hidden="false" customHeight="true" outlineLevel="0" collapsed="false">
      <c r="A24" s="60" t="str">
        <f aca="false">BvA!$A$35</f>
        <v>Other G&amp;A</v>
      </c>
      <c r="B24" s="61" t="n">
        <f aca="false">BvA!$H$35</f>
        <v>162000</v>
      </c>
      <c r="C24" s="61" t="n">
        <f aca="false">BvA!$I$35</f>
        <v>166100</v>
      </c>
      <c r="D24" s="61" t="n">
        <f aca="false">BvA!$J$35</f>
        <v>-4100</v>
      </c>
      <c r="E24" s="62" t="n">
        <f aca="false">BvA!$K$35</f>
        <v>-0.0253086419753086</v>
      </c>
      <c r="F24" s="60" t="str">
        <f aca="false">BvA!$L$35</f>
        <v>Unfav</v>
      </c>
      <c r="G24" s="63" t="s">
        <v>182</v>
      </c>
      <c r="H24" s="63" t="s">
        <v>183</v>
      </c>
      <c r="I24" s="63" t="s">
        <v>184</v>
      </c>
    </row>
  </sheetData>
  <mergeCells count="4">
    <mergeCell ref="A5:I5"/>
    <mergeCell ref="A6:I6"/>
    <mergeCell ref="A7:I7"/>
    <mergeCell ref="A8:I8"/>
  </mergeCells>
  <conditionalFormatting sqref="F11:F24">
    <cfRule type="expression" priority="2" aboveAverage="0" equalAverage="0" bottom="0" percent="0" rank="0" text="" dxfId="3">
      <formula>F11="Fav"</formula>
    </cfRule>
    <cfRule type="expression" priority="3" aboveAverage="0" equalAverage="0" bottom="0" percent="0" rank="0" text="" dxfId="4">
      <formula>F11="Unfav"</formula>
    </cfRule>
  </conditionalFormatting>
  <conditionalFormatting sqref="D11:E24">
    <cfRule type="expression" priority="4" aboveAverage="0" equalAverage="0" bottom="0" percent="0" rank="0" text="" dxfId="5">
      <formula>D11&lt;0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N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4" min="2" style="0" width="12.5"/>
  </cols>
  <sheetData>
    <row r="1" customFormat="false" ht="17.35" hidden="false" customHeight="false" outlineLevel="0" collapsed="false">
      <c r="A1" s="19" t="s">
        <v>185</v>
      </c>
    </row>
    <row r="2" customFormat="false" ht="15" hidden="false" customHeight="false" outlineLevel="0" collapsed="false">
      <c r="A2" s="2" t="s">
        <v>186</v>
      </c>
    </row>
    <row r="3" customFormat="false" ht="15" hidden="false" customHeight="false" outlineLevel="0" collapsed="false">
      <c r="A3" s="21" t="s">
        <v>187</v>
      </c>
      <c r="B3" s="64" t="n">
        <v>1</v>
      </c>
      <c r="C3" s="64" t="n">
        <v>2</v>
      </c>
      <c r="D3" s="64" t="n">
        <v>3</v>
      </c>
      <c r="E3" s="64" t="n">
        <v>4</v>
      </c>
      <c r="F3" s="64" t="n">
        <v>5</v>
      </c>
      <c r="G3" s="64" t="n">
        <v>6</v>
      </c>
      <c r="H3" s="64" t="n">
        <v>7</v>
      </c>
      <c r="I3" s="64" t="n">
        <v>8</v>
      </c>
      <c r="J3" s="64" t="n">
        <v>9</v>
      </c>
      <c r="K3" s="64" t="n">
        <v>10</v>
      </c>
      <c r="L3" s="64" t="n">
        <v>11</v>
      </c>
      <c r="M3" s="64" t="n">
        <v>12</v>
      </c>
    </row>
    <row r="4" customFormat="false" ht="15" hidden="false" customHeight="false" outlineLevel="0" collapsed="false">
      <c r="A4" s="25" t="s">
        <v>58</v>
      </c>
      <c r="B4" s="23" t="s">
        <v>188</v>
      </c>
      <c r="C4" s="23" t="s">
        <v>189</v>
      </c>
      <c r="D4" s="23" t="s">
        <v>190</v>
      </c>
      <c r="E4" s="23" t="s">
        <v>191</v>
      </c>
      <c r="F4" s="23" t="s">
        <v>192</v>
      </c>
      <c r="G4" s="23" t="s">
        <v>193</v>
      </c>
      <c r="H4" s="23" t="s">
        <v>194</v>
      </c>
      <c r="I4" s="23" t="s">
        <v>195</v>
      </c>
      <c r="J4" s="23" t="s">
        <v>196</v>
      </c>
      <c r="K4" s="23" t="s">
        <v>197</v>
      </c>
      <c r="L4" s="23" t="s">
        <v>198</v>
      </c>
      <c r="M4" s="23" t="s">
        <v>199</v>
      </c>
      <c r="N4" s="23" t="s">
        <v>200</v>
      </c>
    </row>
    <row r="5" customFormat="false" ht="15" hidden="false" customHeight="false" outlineLevel="0" collapsed="false">
      <c r="A5" s="26" t="s">
        <v>65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customFormat="false" ht="15" hidden="false" customHeight="false" outlineLevel="0" collapsed="false">
      <c r="A6" s="28" t="s">
        <v>66</v>
      </c>
      <c r="B6" s="29" t="n">
        <f aca="false">IF(B$3&lt;=Assumptions!$B$6,Actuals!B6,ROUND(Budget!B6*(1+Assumptions!$B$35),0))</f>
        <v>11817</v>
      </c>
      <c r="C6" s="29" t="n">
        <f aca="false">IF(C$3&lt;=Assumptions!$B$6,Actuals!C6,ROUND(Budget!C6*(1+Assumptions!$B$35),0))</f>
        <v>11583</v>
      </c>
      <c r="D6" s="29" t="n">
        <f aca="false">IF(D$3&lt;=Assumptions!$B$6,Actuals!D6,ROUND(Budget!D6*(1+Assumptions!$B$35),0))</f>
        <v>14040</v>
      </c>
      <c r="E6" s="29" t="n">
        <f aca="false">IF(E$3&lt;=Assumptions!$B$6,Actuals!E6,ROUND(Budget!E6*(1+Assumptions!$B$35),0))</f>
        <v>14580</v>
      </c>
      <c r="F6" s="29" t="n">
        <f aca="false">IF(F$3&lt;=Assumptions!$B$6,Actuals!F6,ROUND(Budget!F6*(1+Assumptions!$B$35),0))</f>
        <v>15696</v>
      </c>
      <c r="G6" s="29" t="n">
        <f aca="false">IF(G$3&lt;=Assumptions!$B$6,Actuals!G6,ROUND(Budget!G6*(1+Assumptions!$B$35),0))</f>
        <v>14445</v>
      </c>
      <c r="H6" s="29" t="n">
        <f aca="false">IF(H$3&lt;=Assumptions!$B$6,Actuals!H6,ROUND(Budget!H6*(1+Assumptions!$B$35),0))</f>
        <v>13608</v>
      </c>
      <c r="I6" s="29" t="n">
        <f aca="false">IF(I$3&lt;=Assumptions!$B$6,Actuals!I6,ROUND(Budget!I6*(1+Assumptions!$B$35),0))</f>
        <v>14850</v>
      </c>
      <c r="J6" s="29" t="n">
        <f aca="false">IF(J$3&lt;=Assumptions!$B$6,Actuals!J6,ROUND(Budget!J6*(1+Assumptions!$B$35),0))</f>
        <v>16677</v>
      </c>
      <c r="K6" s="29" t="n">
        <f aca="false">IF(K$3&lt;=Assumptions!$B$6,Actuals!K6,ROUND(Budget!K6*(1+Assumptions!$B$35),0))</f>
        <v>18468</v>
      </c>
      <c r="L6" s="29" t="n">
        <f aca="false">IF(L$3&lt;=Assumptions!$B$6,Actuals!L6,ROUND(Budget!L6*(1+Assumptions!$B$35),0))</f>
        <v>24300</v>
      </c>
      <c r="M6" s="29" t="n">
        <f aca="false">IF(M$3&lt;=Assumptions!$B$6,Actuals!M6,ROUND(Budget!M6*(1+Assumptions!$B$35),0))</f>
        <v>22356</v>
      </c>
      <c r="N6" s="30" t="n">
        <f aca="false">SUM(B6:M6)</f>
        <v>192420</v>
      </c>
    </row>
    <row r="7" customFormat="false" ht="15" hidden="false" customHeight="false" outlineLevel="0" collapsed="false">
      <c r="A7" s="28" t="s">
        <v>67</v>
      </c>
      <c r="B7" s="29" t="n">
        <f aca="false">IF(B$3&lt;=Assumptions!$B$6,Actuals!B7,ROUND(Budget!B7*(1+Assumptions!$B$36),0))</f>
        <v>7800</v>
      </c>
      <c r="C7" s="29" t="n">
        <f aca="false">IF(C$3&lt;=Assumptions!$B$6,Actuals!C7,ROUND(Budget!C7*(1+Assumptions!$B$36),0))</f>
        <v>7644</v>
      </c>
      <c r="D7" s="29" t="n">
        <f aca="false">IF(D$3&lt;=Assumptions!$B$6,Actuals!D7,ROUND(Budget!D7*(1+Assumptions!$B$36),0))</f>
        <v>8910</v>
      </c>
      <c r="E7" s="29" t="n">
        <f aca="false">IF(E$3&lt;=Assumptions!$B$6,Actuals!E7,ROUND(Budget!E7*(1+Assumptions!$B$36),0))</f>
        <v>8730</v>
      </c>
      <c r="F7" s="29" t="n">
        <f aca="false">IF(F$3&lt;=Assumptions!$B$6,Actuals!F7,ROUND(Budget!F7*(1+Assumptions!$B$36),0))</f>
        <v>8256</v>
      </c>
      <c r="G7" s="29" t="n">
        <f aca="false">IF(G$3&lt;=Assumptions!$B$6,Actuals!G7,ROUND(Budget!G7*(1+Assumptions!$B$36),0))</f>
        <v>7200</v>
      </c>
      <c r="H7" s="29" t="n">
        <f aca="false">IF(H$3&lt;=Assumptions!$B$6,Actuals!H7,ROUND(Budget!H7*(1+Assumptions!$B$36),0))</f>
        <v>7560</v>
      </c>
      <c r="I7" s="29" t="n">
        <f aca="false">IF(I$3&lt;=Assumptions!$B$6,Actuals!I7,ROUND(Budget!I7*(1+Assumptions!$B$36),0))</f>
        <v>8550</v>
      </c>
      <c r="J7" s="29" t="n">
        <f aca="false">IF(J$3&lt;=Assumptions!$B$6,Actuals!J7,ROUND(Budget!J7*(1+Assumptions!$B$36),0))</f>
        <v>9894</v>
      </c>
      <c r="K7" s="29" t="n">
        <f aca="false">IF(K$3&lt;=Assumptions!$B$6,Actuals!K7,ROUND(Budget!K7*(1+Assumptions!$B$36),0))</f>
        <v>10944</v>
      </c>
      <c r="L7" s="29" t="n">
        <f aca="false">IF(L$3&lt;=Assumptions!$B$6,Actuals!L7,ROUND(Budget!L7*(1+Assumptions!$B$36),0))</f>
        <v>14400</v>
      </c>
      <c r="M7" s="29" t="n">
        <f aca="false">IF(M$3&lt;=Assumptions!$B$6,Actuals!M7,ROUND(Budget!M7*(1+Assumptions!$B$36),0))</f>
        <v>13248</v>
      </c>
      <c r="N7" s="30" t="n">
        <f aca="false">SUM(B7:M7)</f>
        <v>113136</v>
      </c>
    </row>
    <row r="8" customFormat="false" ht="15" hidden="false" customHeight="false" outlineLevel="0" collapsed="false">
      <c r="A8" s="28" t="s">
        <v>68</v>
      </c>
      <c r="B8" s="29" t="n">
        <f aca="false">IF(B$3&lt;=Assumptions!$B$6,Actuals!B8,ROUND(Budget!B8*(1+Assumptions!$B$37),0))</f>
        <v>3861</v>
      </c>
      <c r="C8" s="29" t="n">
        <f aca="false">IF(C$3&lt;=Assumptions!$B$6,Actuals!C8,ROUND(Budget!C8*(1+Assumptions!$B$37),0))</f>
        <v>3978</v>
      </c>
      <c r="D8" s="29" t="n">
        <f aca="false">IF(D$3&lt;=Assumptions!$B$6,Actuals!D8,ROUND(Budget!D8*(1+Assumptions!$B$37),0))</f>
        <v>4635</v>
      </c>
      <c r="E8" s="29" t="n">
        <f aca="false">IF(E$3&lt;=Assumptions!$B$6,Actuals!E8,ROUND(Budget!E8*(1+Assumptions!$B$37),0))</f>
        <v>4545</v>
      </c>
      <c r="F8" s="29" t="n">
        <f aca="false">IF(F$3&lt;=Assumptions!$B$6,Actuals!F8,ROUND(Budget!F8*(1+Assumptions!$B$37),0))</f>
        <v>4944</v>
      </c>
      <c r="G8" s="29" t="n">
        <f aca="false">IF(G$3&lt;=Assumptions!$B$6,Actuals!G8,ROUND(Budget!G8*(1+Assumptions!$B$37),0))</f>
        <v>4680</v>
      </c>
      <c r="H8" s="29" t="n">
        <f aca="false">IF(H$3&lt;=Assumptions!$B$6,Actuals!H8,ROUND(Budget!H8*(1+Assumptions!$B$37),0))</f>
        <v>4326</v>
      </c>
      <c r="I8" s="29" t="n">
        <f aca="false">IF(I$3&lt;=Assumptions!$B$6,Actuals!I8,ROUND(Budget!I8*(1+Assumptions!$B$37),0))</f>
        <v>4725</v>
      </c>
      <c r="J8" s="29" t="n">
        <f aca="false">IF(J$3&lt;=Assumptions!$B$6,Actuals!J8,ROUND(Budget!J8*(1+Assumptions!$B$37),0))</f>
        <v>5304</v>
      </c>
      <c r="K8" s="29" t="n">
        <f aca="false">IF(K$3&lt;=Assumptions!$B$6,Actuals!K8,ROUND(Budget!K8*(1+Assumptions!$B$37),0))</f>
        <v>5928</v>
      </c>
      <c r="L8" s="29" t="n">
        <f aca="false">IF(L$3&lt;=Assumptions!$B$6,Actuals!L8,ROUND(Budget!L8*(1+Assumptions!$B$37),0))</f>
        <v>7800</v>
      </c>
      <c r="M8" s="29" t="n">
        <f aca="false">IF(M$3&lt;=Assumptions!$B$6,Actuals!M8,ROUND(Budget!M8*(1+Assumptions!$B$37),0))</f>
        <v>7176</v>
      </c>
      <c r="N8" s="30" t="n">
        <f aca="false">SUM(B8:M8)</f>
        <v>61902</v>
      </c>
    </row>
    <row r="9" customFormat="false" ht="15" hidden="false" customHeight="false" outlineLevel="0" collapsed="false">
      <c r="A9" s="3" t="s">
        <v>69</v>
      </c>
      <c r="B9" s="35" t="n">
        <f aca="false">SUM(B6:B8)</f>
        <v>23478</v>
      </c>
      <c r="C9" s="35" t="n">
        <f aca="false">SUM(C6:C8)</f>
        <v>23205</v>
      </c>
      <c r="D9" s="35" t="n">
        <f aca="false">SUM(D6:D8)</f>
        <v>27585</v>
      </c>
      <c r="E9" s="35" t="n">
        <f aca="false">SUM(E6:E8)</f>
        <v>27855</v>
      </c>
      <c r="F9" s="35" t="n">
        <f aca="false">SUM(F6:F8)</f>
        <v>28896</v>
      </c>
      <c r="G9" s="35" t="n">
        <f aca="false">SUM(G6:G8)</f>
        <v>26325</v>
      </c>
      <c r="H9" s="35" t="n">
        <f aca="false">SUM(H6:H8)</f>
        <v>25494</v>
      </c>
      <c r="I9" s="35" t="n">
        <f aca="false">SUM(I6:I8)</f>
        <v>28125</v>
      </c>
      <c r="J9" s="35" t="n">
        <f aca="false">SUM(J6:J8)</f>
        <v>31875</v>
      </c>
      <c r="K9" s="35" t="n">
        <f aca="false">SUM(K6:K8)</f>
        <v>35340</v>
      </c>
      <c r="L9" s="35" t="n">
        <f aca="false">SUM(L6:L8)</f>
        <v>46500</v>
      </c>
      <c r="M9" s="35" t="n">
        <f aca="false">SUM(M6:M8)</f>
        <v>42780</v>
      </c>
      <c r="N9" s="35" t="n">
        <f aca="false">SUM(N6:N8)</f>
        <v>367458</v>
      </c>
    </row>
    <row r="11" customFormat="false" ht="15" hidden="false" customHeight="false" outlineLevel="0" collapsed="false">
      <c r="A11" s="26" t="s">
        <v>70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</row>
    <row r="12" customFormat="false" ht="15" hidden="false" customHeight="false" outlineLevel="0" collapsed="false">
      <c r="A12" s="28" t="s">
        <v>66</v>
      </c>
      <c r="B12" s="39" t="n">
        <f aca="false">IF(B$3&lt;=Assumptions!$B$6,Actuals!B12,B6*Assumptions!$C$35)</f>
        <v>567216</v>
      </c>
      <c r="C12" s="39" t="n">
        <f aca="false">IF(C$3&lt;=Assumptions!$B$6,Actuals!C12,C6*Assumptions!$C$35)</f>
        <v>555984</v>
      </c>
      <c r="D12" s="39" t="n">
        <f aca="false">IF(D$3&lt;=Assumptions!$B$6,Actuals!D12,D6*Assumptions!$C$35)</f>
        <v>653702</v>
      </c>
      <c r="E12" s="39" t="n">
        <f aca="false">IF(E$3&lt;=Assumptions!$B$6,Actuals!E12,E6*Assumptions!$C$35)</f>
        <v>678845</v>
      </c>
      <c r="F12" s="39" t="n">
        <f aca="false">IF(F$3&lt;=Assumptions!$B$6,Actuals!F12,F6*Assumptions!$C$35)</f>
        <v>738340</v>
      </c>
      <c r="G12" s="39" t="n">
        <f aca="false">IF(G$3&lt;=Assumptions!$B$6,Actuals!G12,G6*Assumptions!$C$35)</f>
        <v>679493</v>
      </c>
      <c r="H12" s="39" t="n">
        <f aca="false">IF(H$3&lt;=Assumptions!$B$6,Actuals!H12,H6*Assumptions!$C$35)</f>
        <v>640120</v>
      </c>
      <c r="I12" s="39" t="n">
        <f aca="false">IF(I$3&lt;=Assumptions!$B$6,Actuals!I12,I6*Assumptions!$C$35)</f>
        <v>691416</v>
      </c>
      <c r="J12" s="39" t="n">
        <f aca="false">IF(J$3&lt;=Assumptions!$B$6,Actuals!J12,J6*Assumptions!$C$35)</f>
        <v>784486</v>
      </c>
      <c r="K12" s="39" t="n">
        <f aca="false">IF(K$3&lt;=Assumptions!$B$6,Actuals!K12,K6*Assumptions!$C$35)</f>
        <v>867996</v>
      </c>
      <c r="L12" s="39" t="n">
        <f aca="false">IF(L$3&lt;=Assumptions!$B$6,Actuals!L12,L6*Assumptions!$C$35)</f>
        <v>1142100</v>
      </c>
      <c r="M12" s="39" t="n">
        <f aca="false">IF(M$3&lt;=Assumptions!$B$6,Actuals!M12,M6*Assumptions!$C$35)</f>
        <v>1050732</v>
      </c>
      <c r="N12" s="40" t="n">
        <f aca="false">SUM(B12:M12)</f>
        <v>9050430</v>
      </c>
    </row>
    <row r="13" customFormat="false" ht="15" hidden="false" customHeight="false" outlineLevel="0" collapsed="false">
      <c r="A13" s="28" t="s">
        <v>67</v>
      </c>
      <c r="B13" s="39" t="n">
        <f aca="false">IF(B$3&lt;=Assumptions!$B$6,Actuals!B13,B7*Assumptions!$C$36)</f>
        <v>507000</v>
      </c>
      <c r="C13" s="39" t="n">
        <f aca="false">IF(C$3&lt;=Assumptions!$B$6,Actuals!C13,C7*Assumptions!$C$36)</f>
        <v>496860</v>
      </c>
      <c r="D13" s="39" t="n">
        <f aca="false">IF(D$3&lt;=Assumptions!$B$6,Actuals!D13,D7*Assumptions!$C$36)</f>
        <v>579150</v>
      </c>
      <c r="E13" s="39" t="n">
        <f aca="false">IF(E$3&lt;=Assumptions!$B$6,Actuals!E13,E7*Assumptions!$C$36)</f>
        <v>573124</v>
      </c>
      <c r="F13" s="39" t="n">
        <f aca="false">IF(F$3&lt;=Assumptions!$B$6,Actuals!F13,F7*Assumptions!$C$36)</f>
        <v>536640</v>
      </c>
      <c r="G13" s="39" t="n">
        <f aca="false">IF(G$3&lt;=Assumptions!$B$6,Actuals!G13,G7*Assumptions!$C$36)</f>
        <v>472680</v>
      </c>
      <c r="H13" s="39" t="n">
        <f aca="false">IF(H$3&lt;=Assumptions!$B$6,Actuals!H13,H7*Assumptions!$C$36)</f>
        <v>491400</v>
      </c>
      <c r="I13" s="39" t="n">
        <f aca="false">IF(I$3&lt;=Assumptions!$B$6,Actuals!I13,I7*Assumptions!$C$36)</f>
        <v>555750</v>
      </c>
      <c r="J13" s="39" t="n">
        <f aca="false">IF(J$3&lt;=Assumptions!$B$6,Actuals!J13,J7*Assumptions!$C$36)</f>
        <v>639894</v>
      </c>
      <c r="K13" s="39" t="n">
        <f aca="false">IF(K$3&lt;=Assumptions!$B$6,Actuals!K13,K7*Assumptions!$C$36)</f>
        <v>711360</v>
      </c>
      <c r="L13" s="39" t="n">
        <f aca="false">IF(L$3&lt;=Assumptions!$B$6,Actuals!L13,L7*Assumptions!$C$36)</f>
        <v>936000</v>
      </c>
      <c r="M13" s="39" t="n">
        <f aca="false">IF(M$3&lt;=Assumptions!$B$6,Actuals!M13,M7*Assumptions!$C$36)</f>
        <v>861120</v>
      </c>
      <c r="N13" s="40" t="n">
        <f aca="false">SUM(B13:M13)</f>
        <v>7360978</v>
      </c>
    </row>
    <row r="14" customFormat="false" ht="15" hidden="false" customHeight="false" outlineLevel="0" collapsed="false">
      <c r="A14" s="28" t="s">
        <v>68</v>
      </c>
      <c r="B14" s="39" t="n">
        <f aca="false">IF(B$3&lt;=Assumptions!$B$6,Actuals!B14,B8*Assumptions!$C$37)</f>
        <v>424710</v>
      </c>
      <c r="C14" s="39" t="n">
        <f aca="false">IF(C$3&lt;=Assumptions!$B$6,Actuals!C14,C8*Assumptions!$C$37)</f>
        <v>437580</v>
      </c>
      <c r="D14" s="39" t="n">
        <f aca="false">IF(D$3&lt;=Assumptions!$B$6,Actuals!D14,D8*Assumptions!$C$37)</f>
        <v>509850</v>
      </c>
      <c r="E14" s="39" t="n">
        <f aca="false">IF(E$3&lt;=Assumptions!$B$6,Actuals!E14,E8*Assumptions!$C$37)</f>
        <v>519948</v>
      </c>
      <c r="F14" s="39" t="n">
        <f aca="false">IF(F$3&lt;=Assumptions!$B$6,Actuals!F14,F8*Assumptions!$C$37)</f>
        <v>565594</v>
      </c>
      <c r="G14" s="39" t="n">
        <f aca="false">IF(G$3&lt;=Assumptions!$B$6,Actuals!G14,G8*Assumptions!$C$37)</f>
        <v>537966</v>
      </c>
      <c r="H14" s="39" t="n">
        <f aca="false">IF(H$3&lt;=Assumptions!$B$6,Actuals!H14,H8*Assumptions!$C$37)</f>
        <v>494894</v>
      </c>
      <c r="I14" s="39" t="n">
        <f aca="false">IF(I$3&lt;=Assumptions!$B$6,Actuals!I14,I8*Assumptions!$C$37)</f>
        <v>540540</v>
      </c>
      <c r="J14" s="39" t="n">
        <f aca="false">IF(J$3&lt;=Assumptions!$B$6,Actuals!J14,J8*Assumptions!$C$37)</f>
        <v>606778</v>
      </c>
      <c r="K14" s="39" t="n">
        <f aca="false">IF(K$3&lt;=Assumptions!$B$6,Actuals!K14,K8*Assumptions!$C$37)</f>
        <v>678163.2</v>
      </c>
      <c r="L14" s="39" t="n">
        <f aca="false">IF(L$3&lt;=Assumptions!$B$6,Actuals!L14,L8*Assumptions!$C$37)</f>
        <v>892320</v>
      </c>
      <c r="M14" s="39" t="n">
        <f aca="false">IF(M$3&lt;=Assumptions!$B$6,Actuals!M14,M8*Assumptions!$C$37)</f>
        <v>820934.4</v>
      </c>
      <c r="N14" s="40" t="n">
        <f aca="false">SUM(B14:M14)</f>
        <v>7029277.6</v>
      </c>
    </row>
    <row r="15" customFormat="false" ht="15" hidden="false" customHeight="false" outlineLevel="0" collapsed="false">
      <c r="A15" s="3" t="s">
        <v>71</v>
      </c>
      <c r="B15" s="42" t="n">
        <f aca="false">SUM(B12:B14)</f>
        <v>1498926</v>
      </c>
      <c r="C15" s="42" t="n">
        <f aca="false">SUM(C12:C14)</f>
        <v>1490424</v>
      </c>
      <c r="D15" s="42" t="n">
        <f aca="false">SUM(D12:D14)</f>
        <v>1742702</v>
      </c>
      <c r="E15" s="42" t="n">
        <f aca="false">SUM(E12:E14)</f>
        <v>1771917</v>
      </c>
      <c r="F15" s="42" t="n">
        <f aca="false">SUM(F12:F14)</f>
        <v>1840574</v>
      </c>
      <c r="G15" s="42" t="n">
        <f aca="false">SUM(G12:G14)</f>
        <v>1690139</v>
      </c>
      <c r="H15" s="42" t="n">
        <f aca="false">SUM(H12:H14)</f>
        <v>1626414</v>
      </c>
      <c r="I15" s="42" t="n">
        <f aca="false">SUM(I12:I14)</f>
        <v>1787706</v>
      </c>
      <c r="J15" s="42" t="n">
        <f aca="false">SUM(J12:J14)</f>
        <v>2031158</v>
      </c>
      <c r="K15" s="42" t="n">
        <f aca="false">SUM(K12:K14)</f>
        <v>2257519.2</v>
      </c>
      <c r="L15" s="42" t="n">
        <f aca="false">SUM(L12:L14)</f>
        <v>2970420</v>
      </c>
      <c r="M15" s="42" t="n">
        <f aca="false">SUM(M12:M14)</f>
        <v>2732786.4</v>
      </c>
      <c r="N15" s="42" t="n">
        <f aca="false">SUM(N12:N14)</f>
        <v>23440685.6</v>
      </c>
    </row>
    <row r="17" customFormat="false" ht="15" hidden="false" customHeight="false" outlineLevel="0" collapsed="false">
      <c r="A17" s="26" t="s">
        <v>72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</row>
    <row r="18" customFormat="false" ht="15" hidden="false" customHeight="false" outlineLevel="0" collapsed="false">
      <c r="A18" s="28" t="s">
        <v>73</v>
      </c>
      <c r="B18" s="39" t="n">
        <f aca="false">IF(B$3&lt;=Assumptions!$B$6,Actuals!B18,SUMPRODUCT(B6:B8,Assumptions!$D$35:$D$37))</f>
        <v>545964</v>
      </c>
      <c r="C18" s="39" t="n">
        <f aca="false">IF(C$3&lt;=Assumptions!$B$6,Actuals!C18,SUMPRODUCT(C6:C8,Assumptions!$D$35:$D$37))</f>
        <v>543127</v>
      </c>
      <c r="D18" s="39" t="n">
        <f aca="false">IF(D$3&lt;=Assumptions!$B$6,Actuals!D18,SUMPRODUCT(D6:D8,Assumptions!$D$35:$D$37))</f>
        <v>642069</v>
      </c>
      <c r="E18" s="39" t="n">
        <f aca="false">IF(E$3&lt;=Assumptions!$B$6,Actuals!E18,SUMPRODUCT(E6:E8,Assumptions!$D$35:$D$37))</f>
        <v>653586</v>
      </c>
      <c r="F18" s="39" t="n">
        <f aca="false">IF(F$3&lt;=Assumptions!$B$6,Actuals!F18,SUMPRODUCT(F6:F8,Assumptions!$D$35:$D$37))</f>
        <v>680909</v>
      </c>
      <c r="G18" s="39" t="n">
        <f aca="false">IF(G$3&lt;=Assumptions!$B$6,Actuals!G18,SUMPRODUCT(G6:G8,Assumptions!$D$35:$D$37))</f>
        <v>621804</v>
      </c>
      <c r="H18" s="39" t="n">
        <f aca="false">IF(H$3&lt;=Assumptions!$B$6,Actuals!H18,SUMPRODUCT(H6:H8,Assumptions!$D$35:$D$37))</f>
        <v>602303</v>
      </c>
      <c r="I18" s="39" t="n">
        <f aca="false">IF(I$3&lt;=Assumptions!$B$6,Actuals!I18,SUMPRODUCT(I6:I8,Assumptions!$D$35:$D$37))</f>
        <v>665152</v>
      </c>
      <c r="J18" s="39" t="n">
        <f aca="false">IF(J$3&lt;=Assumptions!$B$6,Actuals!J18,SUMPRODUCT(J6:J8,Assumptions!$D$35:$D$37))</f>
        <v>754390</v>
      </c>
      <c r="K18" s="39" t="n">
        <f aca="false">IF(K$3&lt;=Assumptions!$B$6,Actuals!K18,SUMPRODUCT(K6:K8,Assumptions!$D$35:$D$37))</f>
        <v>837336.84</v>
      </c>
      <c r="L18" s="39" t="n">
        <f aca="false">IF(L$3&lt;=Assumptions!$B$6,Actuals!L18,SUMPRODUCT(L6:L8,Assumptions!$D$35:$D$37))</f>
        <v>1101759</v>
      </c>
      <c r="M18" s="39" t="n">
        <f aca="false">IF(M$3&lt;=Assumptions!$B$6,Actuals!M18,SUMPRODUCT(M6:M8,Assumptions!$D$35:$D$37))</f>
        <v>1013618.28</v>
      </c>
      <c r="N18" s="40" t="n">
        <f aca="false">SUM(B18:M18)</f>
        <v>8662018.12</v>
      </c>
    </row>
    <row r="19" customFormat="false" ht="15" hidden="false" customHeight="false" outlineLevel="0" collapsed="false">
      <c r="A19" s="28" t="s">
        <v>74</v>
      </c>
      <c r="B19" s="39" t="n">
        <f aca="false">IF(B$3&lt;=Assumptions!$B$6,Actuals!B19,SUMPRODUCT(B6:B8,Assumptions!$E$11:$E$13)*(1+Assumptions!$B$40))</f>
        <v>171678</v>
      </c>
      <c r="C19" s="39" t="n">
        <f aca="false">IF(C$3&lt;=Assumptions!$B$6,Actuals!C19,SUMPRODUCT(C6:C8,Assumptions!$E$11:$E$13)*(1+Assumptions!$B$40))</f>
        <v>170781</v>
      </c>
      <c r="D19" s="39" t="n">
        <f aca="false">IF(D$3&lt;=Assumptions!$B$6,Actuals!D19,SUMPRODUCT(D6:D8,Assumptions!$E$11:$E$13)*(1+Assumptions!$B$40))</f>
        <v>201735</v>
      </c>
      <c r="E19" s="39" t="n">
        <f aca="false">IF(E$3&lt;=Assumptions!$B$6,Actuals!E19,SUMPRODUCT(E6:E8,Assumptions!$E$11:$E$13)*(1+Assumptions!$B$40))</f>
        <v>201825</v>
      </c>
      <c r="F19" s="39" t="n">
        <f aca="false">IF(F$3&lt;=Assumptions!$B$6,Actuals!F19,SUMPRODUCT(F6:F8,Assumptions!$E$11:$E$13)*(1+Assumptions!$B$40))</f>
        <v>210888</v>
      </c>
      <c r="G19" s="39" t="n">
        <f aca="false">IF(G$3&lt;=Assumptions!$B$6,Actuals!G19,SUMPRODUCT(G6:G8,Assumptions!$E$11:$E$13)*(1+Assumptions!$B$40))</f>
        <v>196385</v>
      </c>
      <c r="H19" s="39" t="n">
        <f aca="false">IF(H$3&lt;=Assumptions!$B$6,Actuals!H19,SUMPRODUCT(H6:H8,Assumptions!$E$11:$E$13)*(1+Assumptions!$B$40))</f>
        <v>195843</v>
      </c>
      <c r="I19" s="39" t="n">
        <f aca="false">IF(I$3&lt;=Assumptions!$B$6,Actuals!I19,SUMPRODUCT(I6:I8,Assumptions!$E$11:$E$13)*(1+Assumptions!$B$40))</f>
        <v>218360</v>
      </c>
      <c r="J19" s="39" t="n">
        <f aca="false">IF(J$3&lt;=Assumptions!$B$6,Actuals!J19,SUMPRODUCT(J6:J8,Assumptions!$E$11:$E$13)*(1+Assumptions!$B$40))</f>
        <v>236119</v>
      </c>
      <c r="K19" s="39" t="n">
        <f aca="false">IF(K$3&lt;=Assumptions!$B$6,Actuals!K19,SUMPRODUCT(K6:K8,Assumptions!$E$11:$E$13)*(1+Assumptions!$B$40))</f>
        <v>262095.12</v>
      </c>
      <c r="L19" s="39" t="n">
        <f aca="false">IF(L$3&lt;=Assumptions!$B$6,Actuals!L19,SUMPRODUCT(L6:L8,Assumptions!$E$11:$E$13)*(1+Assumptions!$B$40))</f>
        <v>344862</v>
      </c>
      <c r="M19" s="39" t="n">
        <f aca="false">IF(M$3&lt;=Assumptions!$B$6,Actuals!M19,SUMPRODUCT(M6:M8,Assumptions!$E$11:$E$13)*(1+Assumptions!$B$40))</f>
        <v>317273.04</v>
      </c>
      <c r="N19" s="40" t="n">
        <f aca="false">SUM(B19:M19)</f>
        <v>2727844.16</v>
      </c>
    </row>
    <row r="20" customFormat="false" ht="15" hidden="false" customHeight="false" outlineLevel="0" collapsed="false">
      <c r="A20" s="28" t="s">
        <v>75</v>
      </c>
      <c r="B20" s="39" t="n">
        <f aca="false">IF(B$3&lt;=Assumptions!$B$6,Actuals!B20,B15*Assumptions!$B$41)</f>
        <v>67452</v>
      </c>
      <c r="C20" s="39" t="n">
        <f aca="false">IF(C$3&lt;=Assumptions!$B$6,Actuals!C20,C15*Assumptions!$B$41)</f>
        <v>68560</v>
      </c>
      <c r="D20" s="39" t="n">
        <f aca="false">IF(D$3&lt;=Assumptions!$B$6,Actuals!D20,D15*Assumptions!$B$41)</f>
        <v>81907</v>
      </c>
      <c r="E20" s="39" t="n">
        <f aca="false">IF(E$3&lt;=Assumptions!$B$6,Actuals!E20,E15*Assumptions!$B$41)</f>
        <v>85052</v>
      </c>
      <c r="F20" s="39" t="n">
        <f aca="false">IF(F$3&lt;=Assumptions!$B$6,Actuals!F20,F15*Assumptions!$B$41)</f>
        <v>95710</v>
      </c>
      <c r="G20" s="39" t="n">
        <f aca="false">IF(G$3&lt;=Assumptions!$B$6,Actuals!G20,G15*Assumptions!$B$41)</f>
        <v>103098</v>
      </c>
      <c r="H20" s="39" t="n">
        <f aca="false">IF(H$3&lt;=Assumptions!$B$6,Actuals!H20,H15*Assumptions!$B$41)</f>
        <v>95958</v>
      </c>
      <c r="I20" s="39" t="n">
        <f aca="false">IF(I$3&lt;=Assumptions!$B$6,Actuals!I20,I15*Assumptions!$B$41)</f>
        <v>94748</v>
      </c>
      <c r="J20" s="39" t="n">
        <f aca="false">IF(J$3&lt;=Assumptions!$B$6,Actuals!J20,J15*Assumptions!$B$41)</f>
        <v>103589</v>
      </c>
      <c r="K20" s="39" t="n">
        <f aca="false">IF(K$3&lt;=Assumptions!$B$6,Actuals!K20,K15*Assumptions!$B$41)</f>
        <v>112875.96</v>
      </c>
      <c r="L20" s="39" t="n">
        <f aca="false">IF(L$3&lt;=Assumptions!$B$6,Actuals!L20,L15*Assumptions!$B$41)</f>
        <v>148521</v>
      </c>
      <c r="M20" s="39" t="n">
        <f aca="false">IF(M$3&lt;=Assumptions!$B$6,Actuals!M20,M15*Assumptions!$B$41)</f>
        <v>136639.32</v>
      </c>
      <c r="N20" s="40" t="n">
        <f aca="false">SUM(B20:M20)</f>
        <v>1194110.28</v>
      </c>
    </row>
    <row r="21" customFormat="false" ht="15" hidden="false" customHeight="false" outlineLevel="0" collapsed="false">
      <c r="A21" s="3" t="s">
        <v>76</v>
      </c>
      <c r="B21" s="42" t="n">
        <f aca="false">SUM(B18:B20)</f>
        <v>785094</v>
      </c>
      <c r="C21" s="42" t="n">
        <f aca="false">SUM(C18:C20)</f>
        <v>782468</v>
      </c>
      <c r="D21" s="42" t="n">
        <f aca="false">SUM(D18:D20)</f>
        <v>925711</v>
      </c>
      <c r="E21" s="42" t="n">
        <f aca="false">SUM(E18:E20)</f>
        <v>940463</v>
      </c>
      <c r="F21" s="42" t="n">
        <f aca="false">SUM(F18:F20)</f>
        <v>987507</v>
      </c>
      <c r="G21" s="42" t="n">
        <f aca="false">SUM(G18:G20)</f>
        <v>921287</v>
      </c>
      <c r="H21" s="42" t="n">
        <f aca="false">SUM(H18:H20)</f>
        <v>894104</v>
      </c>
      <c r="I21" s="42" t="n">
        <f aca="false">SUM(I18:I20)</f>
        <v>978260</v>
      </c>
      <c r="J21" s="42" t="n">
        <f aca="false">SUM(J18:J20)</f>
        <v>1094098</v>
      </c>
      <c r="K21" s="42" t="n">
        <f aca="false">SUM(K18:K20)</f>
        <v>1212307.92</v>
      </c>
      <c r="L21" s="42" t="n">
        <f aca="false">SUM(L18:L20)</f>
        <v>1595142</v>
      </c>
      <c r="M21" s="42" t="n">
        <f aca="false">SUM(M18:M20)</f>
        <v>1467530.64</v>
      </c>
      <c r="N21" s="42" t="n">
        <f aca="false">SUM(N18:N20)</f>
        <v>12583972.56</v>
      </c>
    </row>
    <row r="22" customFormat="false" ht="15" hidden="false" customHeight="false" outlineLevel="0" collapsed="false">
      <c r="A22" s="43" t="s">
        <v>77</v>
      </c>
      <c r="B22" s="45" t="n">
        <f aca="false">B15-B21</f>
        <v>713832</v>
      </c>
      <c r="C22" s="45" t="n">
        <f aca="false">C15-C21</f>
        <v>707956</v>
      </c>
      <c r="D22" s="45" t="n">
        <f aca="false">D15-D21</f>
        <v>816991</v>
      </c>
      <c r="E22" s="45" t="n">
        <f aca="false">E15-E21</f>
        <v>831454</v>
      </c>
      <c r="F22" s="45" t="n">
        <f aca="false">F15-F21</f>
        <v>853067</v>
      </c>
      <c r="G22" s="45" t="n">
        <f aca="false">G15-G21</f>
        <v>768852</v>
      </c>
      <c r="H22" s="45" t="n">
        <f aca="false">H15-H21</f>
        <v>732310</v>
      </c>
      <c r="I22" s="45" t="n">
        <f aca="false">I15-I21</f>
        <v>809446</v>
      </c>
      <c r="J22" s="45" t="n">
        <f aca="false">J15-J21</f>
        <v>937060</v>
      </c>
      <c r="K22" s="45" t="n">
        <f aca="false">K15-K21</f>
        <v>1045211.28</v>
      </c>
      <c r="L22" s="45" t="n">
        <f aca="false">L15-L21</f>
        <v>1375278</v>
      </c>
      <c r="M22" s="45" t="n">
        <f aca="false">M15-M21</f>
        <v>1265255.76</v>
      </c>
      <c r="N22" s="45" t="n">
        <f aca="false">N15-N21</f>
        <v>10856713.04</v>
      </c>
    </row>
    <row r="23" customFormat="false" ht="15" hidden="false" customHeight="false" outlineLevel="0" collapsed="false">
      <c r="A23" s="3" t="s">
        <v>78</v>
      </c>
      <c r="B23" s="49" t="n">
        <f aca="false">IF(B15=0,0,B22/B15)</f>
        <v>0.476228979949644</v>
      </c>
      <c r="C23" s="49" t="n">
        <f aca="false">IF(C15=0,0,C22/C15)</f>
        <v>0.475003086370053</v>
      </c>
      <c r="D23" s="49" t="n">
        <f aca="false">IF(D15=0,0,D22/D15)</f>
        <v>0.468807059382499</v>
      </c>
      <c r="E23" s="49" t="n">
        <f aca="false">IF(E15=0,0,E22/E15)</f>
        <v>0.469239812022798</v>
      </c>
      <c r="F23" s="49" t="n">
        <f aca="false">IF(F15=0,0,F22/F15)</f>
        <v>0.463478784335756</v>
      </c>
      <c r="G23" s="49" t="n">
        <f aca="false">IF(G15=0,0,G22/G15)</f>
        <v>0.454904596604185</v>
      </c>
      <c r="H23" s="49" t="n">
        <f aca="false">IF(H15=0,0,H22/H15)</f>
        <v>0.450260511776214</v>
      </c>
      <c r="I23" s="49" t="n">
        <f aca="false">IF(I15=0,0,I22/I15)</f>
        <v>0.452784742010152</v>
      </c>
      <c r="J23" s="49" t="n">
        <f aca="false">IF(J15=0,0,J22/J15)</f>
        <v>0.461342741431243</v>
      </c>
      <c r="K23" s="49" t="n">
        <f aca="false">IF(K15=0,0,K22/K15)</f>
        <v>0.462991092168784</v>
      </c>
      <c r="L23" s="49" t="n">
        <f aca="false">IF(L15=0,0,L22/L15)</f>
        <v>0.462991092168784</v>
      </c>
      <c r="M23" s="49" t="n">
        <f aca="false">IF(M15=0,0,M22/M15)</f>
        <v>0.462991092168784</v>
      </c>
      <c r="N23" s="49" t="n">
        <f aca="false">IF(N15=0,0,N22/N15)</f>
        <v>0.463156804594487</v>
      </c>
    </row>
    <row r="25" customFormat="false" ht="15" hidden="false" customHeight="false" outlineLevel="0" collapsed="false">
      <c r="A25" s="26" t="s">
        <v>79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</row>
    <row r="26" customFormat="false" ht="15" hidden="false" customHeight="false" outlineLevel="0" collapsed="false">
      <c r="A26" s="28" t="s">
        <v>80</v>
      </c>
      <c r="B26" s="39" t="n">
        <f aca="false">IF(B$3&lt;=Assumptions!$B$6,Actuals!B26,Assumptions!$B$42)</f>
        <v>284100</v>
      </c>
      <c r="C26" s="39" t="n">
        <f aca="false">IF(C$3&lt;=Assumptions!$B$6,Actuals!C26,Assumptions!$B$42)</f>
        <v>272300</v>
      </c>
      <c r="D26" s="39" t="n">
        <f aca="false">IF(D$3&lt;=Assumptions!$B$6,Actuals!D26,Assumptions!$B$42)</f>
        <v>270450</v>
      </c>
      <c r="E26" s="39" t="n">
        <f aca="false">IF(E$3&lt;=Assumptions!$B$6,Actuals!E26,Assumptions!$B$42)</f>
        <v>279200</v>
      </c>
      <c r="F26" s="39" t="n">
        <f aca="false">IF(F$3&lt;=Assumptions!$B$6,Actuals!F26,Assumptions!$B$42)</f>
        <v>280150</v>
      </c>
      <c r="G26" s="39" t="n">
        <f aca="false">IF(G$3&lt;=Assumptions!$B$6,Actuals!G26,Assumptions!$B$42)</f>
        <v>283400</v>
      </c>
      <c r="H26" s="39" t="n">
        <f aca="false">IF(H$3&lt;=Assumptions!$B$6,Actuals!H26,Assumptions!$B$42)</f>
        <v>293100</v>
      </c>
      <c r="I26" s="39" t="n">
        <f aca="false">IF(I$3&lt;=Assumptions!$B$6,Actuals!I26,Assumptions!$B$42)</f>
        <v>294480</v>
      </c>
      <c r="J26" s="39" t="n">
        <f aca="false">IF(J$3&lt;=Assumptions!$B$6,Actuals!J26,Assumptions!$B$42)</f>
        <v>295020</v>
      </c>
      <c r="K26" s="39" t="n">
        <f aca="false">IF(K$3&lt;=Assumptions!$B$6,Actuals!K26,Assumptions!$B$42)</f>
        <v>298000</v>
      </c>
      <c r="L26" s="39" t="n">
        <f aca="false">IF(L$3&lt;=Assumptions!$B$6,Actuals!L26,Assumptions!$B$42)</f>
        <v>298000</v>
      </c>
      <c r="M26" s="39" t="n">
        <f aca="false">IF(M$3&lt;=Assumptions!$B$6,Actuals!M26,Assumptions!$B$42)</f>
        <v>298000</v>
      </c>
      <c r="N26" s="40" t="n">
        <f aca="false">SUM(B26:M26)</f>
        <v>3446200</v>
      </c>
    </row>
    <row r="27" customFormat="false" ht="15" hidden="false" customHeight="false" outlineLevel="0" collapsed="false">
      <c r="A27" s="28" t="s">
        <v>81</v>
      </c>
      <c r="B27" s="39" t="n">
        <f aca="false">IF(B$3&lt;=Assumptions!$B$6,Actuals!B27,B15*Assumptions!$B$43)</f>
        <v>134800</v>
      </c>
      <c r="C27" s="39" t="n">
        <f aca="false">IF(C$3&lt;=Assumptions!$B$6,Actuals!C27,C15*Assumptions!$B$43)</f>
        <v>132100</v>
      </c>
      <c r="D27" s="39" t="n">
        <f aca="false">IF(D$3&lt;=Assumptions!$B$6,Actuals!D27,D15*Assumptions!$B$43)</f>
        <v>199100</v>
      </c>
      <c r="E27" s="39" t="n">
        <f aca="false">IF(E$3&lt;=Assumptions!$B$6,Actuals!E27,E15*Assumptions!$B$43)</f>
        <v>164900</v>
      </c>
      <c r="F27" s="39" t="n">
        <f aca="false">IF(F$3&lt;=Assumptions!$B$6,Actuals!F27,F15*Assumptions!$B$43)</f>
        <v>170900</v>
      </c>
      <c r="G27" s="39" t="n">
        <f aca="false">IF(G$3&lt;=Assumptions!$B$6,Actuals!G27,G15*Assumptions!$B$43)</f>
        <v>158600</v>
      </c>
      <c r="H27" s="39" t="n">
        <f aca="false">IF(H$3&lt;=Assumptions!$B$6,Actuals!H27,H15*Assumptions!$B$43)</f>
        <v>151000</v>
      </c>
      <c r="I27" s="39" t="n">
        <f aca="false">IF(I$3&lt;=Assumptions!$B$6,Actuals!I27,I15*Assumptions!$B$43)</f>
        <v>183500</v>
      </c>
      <c r="J27" s="39" t="n">
        <f aca="false">IF(J$3&lt;=Assumptions!$B$6,Actuals!J27,J15*Assumptions!$B$43)</f>
        <v>186800</v>
      </c>
      <c r="K27" s="39" t="n">
        <f aca="false">IF(K$3&lt;=Assumptions!$B$6,Actuals!K27,K15*Assumptions!$B$43)</f>
        <v>207691.7664</v>
      </c>
      <c r="L27" s="39" t="n">
        <f aca="false">IF(L$3&lt;=Assumptions!$B$6,Actuals!L27,L15*Assumptions!$B$43)</f>
        <v>273278.64</v>
      </c>
      <c r="M27" s="39" t="n">
        <f aca="false">IF(M$3&lt;=Assumptions!$B$6,Actuals!M27,M15*Assumptions!$B$43)</f>
        <v>251416.3488</v>
      </c>
      <c r="N27" s="40" t="n">
        <f aca="false">SUM(B27:M27)</f>
        <v>2214086.7552</v>
      </c>
    </row>
    <row r="28" customFormat="false" ht="15" hidden="false" customHeight="false" outlineLevel="0" collapsed="false">
      <c r="A28" s="28" t="s">
        <v>82</v>
      </c>
      <c r="B28" s="39" t="n">
        <f aca="false">IF(B$3&lt;=Assumptions!$B$6,Actuals!B28,Assumptions!$B$44)</f>
        <v>62000</v>
      </c>
      <c r="C28" s="39" t="n">
        <f aca="false">IF(C$3&lt;=Assumptions!$B$6,Actuals!C28,Assumptions!$B$44)</f>
        <v>62000</v>
      </c>
      <c r="D28" s="39" t="n">
        <f aca="false">IF(D$3&lt;=Assumptions!$B$6,Actuals!D28,Assumptions!$B$44)</f>
        <v>62000</v>
      </c>
      <c r="E28" s="39" t="n">
        <f aca="false">IF(E$3&lt;=Assumptions!$B$6,Actuals!E28,Assumptions!$B$44)</f>
        <v>62000</v>
      </c>
      <c r="F28" s="39" t="n">
        <f aca="false">IF(F$3&lt;=Assumptions!$B$6,Actuals!F28,Assumptions!$B$44)</f>
        <v>62000</v>
      </c>
      <c r="G28" s="39" t="n">
        <f aca="false">IF(G$3&lt;=Assumptions!$B$6,Actuals!G28,Assumptions!$B$44)</f>
        <v>62000</v>
      </c>
      <c r="H28" s="39" t="n">
        <f aca="false">IF(H$3&lt;=Assumptions!$B$6,Actuals!H28,Assumptions!$B$44)</f>
        <v>64100</v>
      </c>
      <c r="I28" s="39" t="n">
        <f aca="false">IF(I$3&lt;=Assumptions!$B$6,Actuals!I28,Assumptions!$B$44)</f>
        <v>64100</v>
      </c>
      <c r="J28" s="39" t="n">
        <f aca="false">IF(J$3&lt;=Assumptions!$B$6,Actuals!J28,Assumptions!$B$44)</f>
        <v>64100</v>
      </c>
      <c r="K28" s="39" t="n">
        <f aca="false">IF(K$3&lt;=Assumptions!$B$6,Actuals!K28,Assumptions!$B$44)</f>
        <v>64100</v>
      </c>
      <c r="L28" s="39" t="n">
        <f aca="false">IF(L$3&lt;=Assumptions!$B$6,Actuals!L28,Assumptions!$B$44)</f>
        <v>64100</v>
      </c>
      <c r="M28" s="39" t="n">
        <f aca="false">IF(M$3&lt;=Assumptions!$B$6,Actuals!M28,Assumptions!$B$44)</f>
        <v>64100</v>
      </c>
      <c r="N28" s="40" t="n">
        <f aca="false">SUM(B28:M28)</f>
        <v>756600</v>
      </c>
    </row>
    <row r="29" customFormat="false" ht="15" hidden="false" customHeight="false" outlineLevel="0" collapsed="false">
      <c r="A29" s="28" t="s">
        <v>83</v>
      </c>
      <c r="B29" s="39" t="n">
        <f aca="false">IF(B$3&lt;=Assumptions!$B$6,Actuals!B29,Assumptions!$B$45)</f>
        <v>37600</v>
      </c>
      <c r="C29" s="39" t="n">
        <f aca="false">IF(C$3&lt;=Assumptions!$B$6,Actuals!C29,Assumptions!$B$45)</f>
        <v>38200</v>
      </c>
      <c r="D29" s="39" t="n">
        <f aca="false">IF(D$3&lt;=Assumptions!$B$6,Actuals!D29,Assumptions!$B$45)</f>
        <v>38400</v>
      </c>
      <c r="E29" s="39" t="n">
        <f aca="false">IF(E$3&lt;=Assumptions!$B$6,Actuals!E29,Assumptions!$B$45)</f>
        <v>38900</v>
      </c>
      <c r="F29" s="39" t="n">
        <f aca="false">IF(F$3&lt;=Assumptions!$B$6,Actuals!F29,Assumptions!$B$45)</f>
        <v>44500</v>
      </c>
      <c r="G29" s="39" t="n">
        <f aca="false">IF(G$3&lt;=Assumptions!$B$6,Actuals!G29,Assumptions!$B$45)</f>
        <v>44500</v>
      </c>
      <c r="H29" s="39" t="n">
        <f aca="false">IF(H$3&lt;=Assumptions!$B$6,Actuals!H29,Assumptions!$B$45)</f>
        <v>44650</v>
      </c>
      <c r="I29" s="39" t="n">
        <f aca="false">IF(I$3&lt;=Assumptions!$B$6,Actuals!I29,Assumptions!$B$45)</f>
        <v>44500</v>
      </c>
      <c r="J29" s="39" t="n">
        <f aca="false">IF(J$3&lt;=Assumptions!$B$6,Actuals!J29,Assumptions!$B$45)</f>
        <v>44720</v>
      </c>
      <c r="K29" s="39" t="n">
        <f aca="false">IF(K$3&lt;=Assumptions!$B$6,Actuals!K29,Assumptions!$B$45)</f>
        <v>44700</v>
      </c>
      <c r="L29" s="39" t="n">
        <f aca="false">IF(L$3&lt;=Assumptions!$B$6,Actuals!L29,Assumptions!$B$45)</f>
        <v>44700</v>
      </c>
      <c r="M29" s="39" t="n">
        <f aca="false">IF(M$3&lt;=Assumptions!$B$6,Actuals!M29,Assumptions!$B$45)</f>
        <v>44700</v>
      </c>
      <c r="N29" s="40" t="n">
        <f aca="false">SUM(B29:M29)</f>
        <v>510070</v>
      </c>
    </row>
    <row r="30" customFormat="false" ht="15" hidden="false" customHeight="false" outlineLevel="0" collapsed="false">
      <c r="A30" s="28" t="s">
        <v>84</v>
      </c>
      <c r="B30" s="39" t="n">
        <f aca="false">IF(B$3&lt;=Assumptions!$B$6,Actuals!B30,Assumptions!$B$46+IF(B$3=Assumptions!$B$29,Assumptions!$B$28,0))</f>
        <v>21500</v>
      </c>
      <c r="C30" s="39" t="n">
        <f aca="false">IF(C$3&lt;=Assumptions!$B$6,Actuals!C30,Assumptions!$B$46+IF(C$3=Assumptions!$B$29,Assumptions!$B$28,0))</f>
        <v>23100</v>
      </c>
      <c r="D30" s="39" t="n">
        <f aca="false">IF(D$3&lt;=Assumptions!$B$6,Actuals!D30,Assumptions!$B$46+IF(D$3=Assumptions!$B$29,Assumptions!$B$28,0))</f>
        <v>22400</v>
      </c>
      <c r="E30" s="39" t="n">
        <f aca="false">IF(E$3&lt;=Assumptions!$B$6,Actuals!E30,Assumptions!$B$46+IF(E$3=Assumptions!$B$29,Assumptions!$B$28,0))</f>
        <v>61000</v>
      </c>
      <c r="F30" s="39" t="n">
        <f aca="false">IF(F$3&lt;=Assumptions!$B$6,Actuals!F30,Assumptions!$B$46+IF(F$3=Assumptions!$B$29,Assumptions!$B$28,0))</f>
        <v>24000</v>
      </c>
      <c r="G30" s="39" t="n">
        <f aca="false">IF(G$3&lt;=Assumptions!$B$6,Actuals!G30,Assumptions!$B$46+IF(G$3=Assumptions!$B$29,Assumptions!$B$28,0))</f>
        <v>48500</v>
      </c>
      <c r="H30" s="39" t="n">
        <f aca="false">IF(H$3&lt;=Assumptions!$B$6,Actuals!H30,Assumptions!$B$46+IF(H$3=Assumptions!$B$29,Assumptions!$B$28,0))</f>
        <v>31000</v>
      </c>
      <c r="I30" s="39" t="n">
        <f aca="false">IF(I$3&lt;=Assumptions!$B$6,Actuals!I30,Assumptions!$B$46+IF(I$3=Assumptions!$B$29,Assumptions!$B$28,0))</f>
        <v>22800</v>
      </c>
      <c r="J30" s="39" t="n">
        <f aca="false">IF(J$3&lt;=Assumptions!$B$6,Actuals!J30,Assumptions!$B$46+IF(J$3=Assumptions!$B$29,Assumptions!$B$28,0))</f>
        <v>23500</v>
      </c>
      <c r="K30" s="39" t="n">
        <f aca="false">IF(K$3&lt;=Assumptions!$B$6,Actuals!K30,Assumptions!$B$46+IF(K$3=Assumptions!$B$29,Assumptions!$B$28,0))</f>
        <v>24000</v>
      </c>
      <c r="L30" s="39" t="n">
        <f aca="false">IF(L$3&lt;=Assumptions!$B$6,Actuals!L30,Assumptions!$B$46+IF(L$3=Assumptions!$B$29,Assumptions!$B$28,0))</f>
        <v>24000</v>
      </c>
      <c r="M30" s="39" t="n">
        <f aca="false">IF(M$3&lt;=Assumptions!$B$6,Actuals!M30,Assumptions!$B$46+IF(M$3=Assumptions!$B$29,Assumptions!$B$28,0))</f>
        <v>24000</v>
      </c>
      <c r="N30" s="40" t="n">
        <f aca="false">SUM(B30:M30)</f>
        <v>349800</v>
      </c>
    </row>
    <row r="31" customFormat="false" ht="15" hidden="false" customHeight="false" outlineLevel="0" collapsed="false">
      <c r="A31" s="28" t="s">
        <v>85</v>
      </c>
      <c r="B31" s="39" t="n">
        <f aca="false">IF(B$3&lt;=Assumptions!$B$6,Actuals!B31,Assumptions!$B$47)</f>
        <v>11200</v>
      </c>
      <c r="C31" s="39" t="n">
        <f aca="false">IF(C$3&lt;=Assumptions!$B$6,Actuals!C31,Assumptions!$B$47)</f>
        <v>12500</v>
      </c>
      <c r="D31" s="39" t="n">
        <f aca="false">IF(D$3&lt;=Assumptions!$B$6,Actuals!D31,Assumptions!$B$47)</f>
        <v>16800</v>
      </c>
      <c r="E31" s="39" t="n">
        <f aca="false">IF(E$3&lt;=Assumptions!$B$6,Actuals!E31,Assumptions!$B$47)</f>
        <v>11000</v>
      </c>
      <c r="F31" s="39" t="n">
        <f aca="false">IF(F$3&lt;=Assumptions!$B$6,Actuals!F31,Assumptions!$B$47)</f>
        <v>12100</v>
      </c>
      <c r="G31" s="39" t="n">
        <f aca="false">IF(G$3&lt;=Assumptions!$B$6,Actuals!G31,Assumptions!$B$47)</f>
        <v>10400</v>
      </c>
      <c r="H31" s="39" t="n">
        <f aca="false">IF(H$3&lt;=Assumptions!$B$6,Actuals!H31,Assumptions!$B$47)</f>
        <v>9800</v>
      </c>
      <c r="I31" s="39" t="n">
        <f aca="false">IF(I$3&lt;=Assumptions!$B$6,Actuals!I31,Assumptions!$B$47)</f>
        <v>13000</v>
      </c>
      <c r="J31" s="39" t="n">
        <f aca="false">IF(J$3&lt;=Assumptions!$B$6,Actuals!J31,Assumptions!$B$47)</f>
        <v>12600</v>
      </c>
      <c r="K31" s="39" t="n">
        <f aca="false">IF(K$3&lt;=Assumptions!$B$6,Actuals!K31,Assumptions!$B$47)</f>
        <v>13000</v>
      </c>
      <c r="L31" s="39" t="n">
        <f aca="false">IF(L$3&lt;=Assumptions!$B$6,Actuals!L31,Assumptions!$B$47)</f>
        <v>13000</v>
      </c>
      <c r="M31" s="39" t="n">
        <f aca="false">IF(M$3&lt;=Assumptions!$B$6,Actuals!M31,Assumptions!$B$47)</f>
        <v>13000</v>
      </c>
      <c r="N31" s="40" t="n">
        <f aca="false">SUM(B31:M31)</f>
        <v>148400</v>
      </c>
    </row>
    <row r="32" customFormat="false" ht="15" hidden="false" customHeight="false" outlineLevel="0" collapsed="false">
      <c r="A32" s="28" t="s">
        <v>86</v>
      </c>
      <c r="B32" s="39" t="n">
        <f aca="false">IF(B$3&lt;=Assumptions!$B$6,Actuals!B32,Assumptions!$B$48)</f>
        <v>12000</v>
      </c>
      <c r="C32" s="39" t="n">
        <f aca="false">IF(C$3&lt;=Assumptions!$B$6,Actuals!C32,Assumptions!$B$48)</f>
        <v>12000</v>
      </c>
      <c r="D32" s="39" t="n">
        <f aca="false">IF(D$3&lt;=Assumptions!$B$6,Actuals!D32,Assumptions!$B$48)</f>
        <v>12000</v>
      </c>
      <c r="E32" s="39" t="n">
        <f aca="false">IF(E$3&lt;=Assumptions!$B$6,Actuals!E32,Assumptions!$B$48)</f>
        <v>12000</v>
      </c>
      <c r="F32" s="39" t="n">
        <f aca="false">IF(F$3&lt;=Assumptions!$B$6,Actuals!F32,Assumptions!$B$48)</f>
        <v>12000</v>
      </c>
      <c r="G32" s="39" t="n">
        <f aca="false">IF(G$3&lt;=Assumptions!$B$6,Actuals!G32,Assumptions!$B$48)</f>
        <v>12000</v>
      </c>
      <c r="H32" s="39" t="n">
        <f aca="false">IF(H$3&lt;=Assumptions!$B$6,Actuals!H32,Assumptions!$B$48)</f>
        <v>12960</v>
      </c>
      <c r="I32" s="39" t="n">
        <f aca="false">IF(I$3&lt;=Assumptions!$B$6,Actuals!I32,Assumptions!$B$48)</f>
        <v>12960</v>
      </c>
      <c r="J32" s="39" t="n">
        <f aca="false">IF(J$3&lt;=Assumptions!$B$6,Actuals!J32,Assumptions!$B$48)</f>
        <v>12960</v>
      </c>
      <c r="K32" s="39" t="n">
        <f aca="false">IF(K$3&lt;=Assumptions!$B$6,Actuals!K32,Assumptions!$B$48)</f>
        <v>12960</v>
      </c>
      <c r="L32" s="39" t="n">
        <f aca="false">IF(L$3&lt;=Assumptions!$B$6,Actuals!L32,Assumptions!$B$48)</f>
        <v>12960</v>
      </c>
      <c r="M32" s="39" t="n">
        <f aca="false">IF(M$3&lt;=Assumptions!$B$6,Actuals!M32,Assumptions!$B$48)</f>
        <v>12960</v>
      </c>
      <c r="N32" s="40" t="n">
        <f aca="false">SUM(B32:M32)</f>
        <v>149760</v>
      </c>
    </row>
    <row r="33" customFormat="false" ht="15" hidden="false" customHeight="false" outlineLevel="0" collapsed="false">
      <c r="A33" s="28" t="s">
        <v>87</v>
      </c>
      <c r="B33" s="39" t="n">
        <f aca="false">IF(B$3&lt;=Assumptions!$B$6,Actuals!B33,Assumptions!$B$49)</f>
        <v>17400</v>
      </c>
      <c r="C33" s="39" t="n">
        <f aca="false">IF(C$3&lt;=Assumptions!$B$6,Actuals!C33,Assumptions!$B$49)</f>
        <v>18900</v>
      </c>
      <c r="D33" s="39" t="n">
        <f aca="false">IF(D$3&lt;=Assumptions!$B$6,Actuals!D33,Assumptions!$B$49)</f>
        <v>19600</v>
      </c>
      <c r="E33" s="39" t="n">
        <f aca="false">IF(E$3&lt;=Assumptions!$B$6,Actuals!E33,Assumptions!$B$49)</f>
        <v>16800</v>
      </c>
      <c r="F33" s="39" t="n">
        <f aca="false">IF(F$3&lt;=Assumptions!$B$6,Actuals!F33,Assumptions!$B$49)</f>
        <v>18200</v>
      </c>
      <c r="G33" s="39" t="n">
        <f aca="false">IF(G$3&lt;=Assumptions!$B$6,Actuals!G33,Assumptions!$B$49)</f>
        <v>20100</v>
      </c>
      <c r="H33" s="39" t="n">
        <f aca="false">IF(H$3&lt;=Assumptions!$B$6,Actuals!H33,Assumptions!$B$49)</f>
        <v>17700</v>
      </c>
      <c r="I33" s="39" t="n">
        <f aca="false">IF(I$3&lt;=Assumptions!$B$6,Actuals!I33,Assumptions!$B$49)</f>
        <v>18400</v>
      </c>
      <c r="J33" s="39" t="n">
        <f aca="false">IF(J$3&lt;=Assumptions!$B$6,Actuals!J33,Assumptions!$B$49)</f>
        <v>19000</v>
      </c>
      <c r="K33" s="39" t="n">
        <f aca="false">IF(K$3&lt;=Assumptions!$B$6,Actuals!K33,Assumptions!$B$49)</f>
        <v>18500</v>
      </c>
      <c r="L33" s="39" t="n">
        <f aca="false">IF(L$3&lt;=Assumptions!$B$6,Actuals!L33,Assumptions!$B$49)</f>
        <v>18500</v>
      </c>
      <c r="M33" s="39" t="n">
        <f aca="false">IF(M$3&lt;=Assumptions!$B$6,Actuals!M33,Assumptions!$B$49)</f>
        <v>18500</v>
      </c>
      <c r="N33" s="40" t="n">
        <f aca="false">SUM(B33:M33)</f>
        <v>221600</v>
      </c>
    </row>
    <row r="34" customFormat="false" ht="15" hidden="false" customHeight="false" outlineLevel="0" collapsed="false">
      <c r="A34" s="3" t="s">
        <v>88</v>
      </c>
      <c r="B34" s="42" t="n">
        <f aca="false">SUM(B26:B33)</f>
        <v>580600</v>
      </c>
      <c r="C34" s="42" t="n">
        <f aca="false">SUM(C26:C33)</f>
        <v>571100</v>
      </c>
      <c r="D34" s="42" t="n">
        <f aca="false">SUM(D26:D33)</f>
        <v>640750</v>
      </c>
      <c r="E34" s="42" t="n">
        <f aca="false">SUM(E26:E33)</f>
        <v>645800</v>
      </c>
      <c r="F34" s="42" t="n">
        <f aca="false">SUM(F26:F33)</f>
        <v>623850</v>
      </c>
      <c r="G34" s="42" t="n">
        <f aca="false">SUM(G26:G33)</f>
        <v>639500</v>
      </c>
      <c r="H34" s="42" t="n">
        <f aca="false">SUM(H26:H33)</f>
        <v>624310</v>
      </c>
      <c r="I34" s="42" t="n">
        <f aca="false">SUM(I26:I33)</f>
        <v>653740</v>
      </c>
      <c r="J34" s="42" t="n">
        <f aca="false">SUM(J26:J33)</f>
        <v>658700</v>
      </c>
      <c r="K34" s="42" t="n">
        <f aca="false">SUM(K26:K33)</f>
        <v>682951.7664</v>
      </c>
      <c r="L34" s="42" t="n">
        <f aca="false">SUM(L26:L33)</f>
        <v>748538.64</v>
      </c>
      <c r="M34" s="42" t="n">
        <f aca="false">SUM(M26:M33)</f>
        <v>726676.3488</v>
      </c>
      <c r="N34" s="42" t="n">
        <f aca="false">SUM(N26:N33)</f>
        <v>7796516.7552</v>
      </c>
    </row>
    <row r="35" customFormat="false" ht="15" hidden="false" customHeight="false" outlineLevel="0" collapsed="false">
      <c r="A35" s="43" t="s">
        <v>89</v>
      </c>
      <c r="B35" s="45" t="n">
        <f aca="false">B22-B34</f>
        <v>133232</v>
      </c>
      <c r="C35" s="45" t="n">
        <f aca="false">C22-C34</f>
        <v>136856</v>
      </c>
      <c r="D35" s="45" t="n">
        <f aca="false">D22-D34</f>
        <v>176241</v>
      </c>
      <c r="E35" s="45" t="n">
        <f aca="false">E22-E34</f>
        <v>185654</v>
      </c>
      <c r="F35" s="45" t="n">
        <f aca="false">F22-F34</f>
        <v>229217</v>
      </c>
      <c r="G35" s="45" t="n">
        <f aca="false">G22-G34</f>
        <v>129352</v>
      </c>
      <c r="H35" s="45" t="n">
        <f aca="false">H22-H34</f>
        <v>108000</v>
      </c>
      <c r="I35" s="45" t="n">
        <f aca="false">I22-I34</f>
        <v>155706</v>
      </c>
      <c r="J35" s="45" t="n">
        <f aca="false">J22-J34</f>
        <v>278360</v>
      </c>
      <c r="K35" s="45" t="n">
        <f aca="false">K22-K34</f>
        <v>362259.5136</v>
      </c>
      <c r="L35" s="45" t="n">
        <f aca="false">L22-L34</f>
        <v>626739.36</v>
      </c>
      <c r="M35" s="45" t="n">
        <f aca="false">M22-M34</f>
        <v>538579.4112</v>
      </c>
      <c r="N35" s="45" t="n">
        <f aca="false">N22-N34</f>
        <v>3060196.2848</v>
      </c>
    </row>
    <row r="36" customFormat="false" ht="15" hidden="false" customHeight="false" outlineLevel="0" collapsed="false">
      <c r="A36" s="3" t="s">
        <v>90</v>
      </c>
      <c r="B36" s="49" t="n">
        <f aca="false">IF(B15=0,0,B35/B15)</f>
        <v>0.0888849749754157</v>
      </c>
      <c r="C36" s="49" t="n">
        <f aca="false">IF(C15=0,0,C35/C15)</f>
        <v>0.0918235347793648</v>
      </c>
      <c r="D36" s="49" t="n">
        <f aca="false">IF(D15=0,0,D35/D15)</f>
        <v>0.101130887552777</v>
      </c>
      <c r="E36" s="49" t="n">
        <f aca="false">IF(E15=0,0,E35/E15)</f>
        <v>0.104775788030703</v>
      </c>
      <c r="F36" s="49" t="n">
        <f aca="false">IF(F15=0,0,F35/F15)</f>
        <v>0.124535606827001</v>
      </c>
      <c r="G36" s="49" t="n">
        <f aca="false">IF(G15=0,0,G35/G15)</f>
        <v>0.076533350215574</v>
      </c>
      <c r="H36" s="49" t="n">
        <f aca="false">IF(H15=0,0,H35/H15)</f>
        <v>0.0664037569770059</v>
      </c>
      <c r="I36" s="49" t="n">
        <f aca="false">IF(I15=0,0,I35/I15)</f>
        <v>0.0870982141358814</v>
      </c>
      <c r="J36" s="49" t="n">
        <f aca="false">IF(J15=0,0,J35/J15)</f>
        <v>0.137044976314004</v>
      </c>
      <c r="K36" s="49" t="n">
        <f aca="false">IF(K15=0,0,K35/K15)</f>
        <v>0.160467965720956</v>
      </c>
      <c r="L36" s="49" t="n">
        <f aca="false">IF(L15=0,0,L35/L15)</f>
        <v>0.210993516068435</v>
      </c>
      <c r="M36" s="49" t="n">
        <f aca="false">IF(M15=0,0,M35/M15)</f>
        <v>0.197080683364056</v>
      </c>
      <c r="N36" s="49" t="n">
        <f aca="false">IF(N15=0,0,N35/N15)</f>
        <v>0.130550630515688</v>
      </c>
    </row>
    <row r="37" customFormat="false" ht="15" hidden="false" customHeight="false" outlineLevel="0" collapsed="false">
      <c r="A37" s="3" t="s">
        <v>201</v>
      </c>
      <c r="B37" s="65" t="str">
        <f aca="false">IF(B$3&lt;=Assumptions!$B$6,"Actual","Forecast")</f>
        <v>Actual</v>
      </c>
      <c r="C37" s="65" t="str">
        <f aca="false">IF(C$3&lt;=Assumptions!$B$6,"Actual","Forecast")</f>
        <v>Actual</v>
      </c>
      <c r="D37" s="65" t="str">
        <f aca="false">IF(D$3&lt;=Assumptions!$B$6,"Actual","Forecast")</f>
        <v>Actual</v>
      </c>
      <c r="E37" s="65" t="str">
        <f aca="false">IF(E$3&lt;=Assumptions!$B$6,"Actual","Forecast")</f>
        <v>Actual</v>
      </c>
      <c r="F37" s="65" t="str">
        <f aca="false">IF(F$3&lt;=Assumptions!$B$6,"Actual","Forecast")</f>
        <v>Actual</v>
      </c>
      <c r="G37" s="65" t="str">
        <f aca="false">IF(G$3&lt;=Assumptions!$B$6,"Actual","Forecast")</f>
        <v>Actual</v>
      </c>
      <c r="H37" s="65" t="str">
        <f aca="false">IF(H$3&lt;=Assumptions!$B$6,"Actual","Forecast")</f>
        <v>Actual</v>
      </c>
      <c r="I37" s="65" t="str">
        <f aca="false">IF(I$3&lt;=Assumptions!$B$6,"Actual","Forecast")</f>
        <v>Actual</v>
      </c>
      <c r="J37" s="65" t="str">
        <f aca="false">IF(J$3&lt;=Assumptions!$B$6,"Actual","Forecast")</f>
        <v>Actual</v>
      </c>
      <c r="K37" s="65" t="str">
        <f aca="false">IF(K$3&lt;=Assumptions!$B$6,"Actual","Forecast")</f>
        <v>Forecast</v>
      </c>
      <c r="L37" s="65" t="str">
        <f aca="false">IF(L$3&lt;=Assumptions!$B$6,"Actual","Forecast")</f>
        <v>Forecast</v>
      </c>
      <c r="M37" s="65" t="str">
        <f aca="false">IF(M$3&lt;=Assumptions!$B$6,"Actual","Forecast")</f>
        <v>Forecast</v>
      </c>
    </row>
    <row r="38" customFormat="false" ht="15" hidden="false" customHeight="false" outlineLevel="0" collapsed="false">
      <c r="A38" s="2" t="s">
        <v>202</v>
      </c>
    </row>
  </sheetData>
  <conditionalFormatting sqref="B5:M36">
    <cfRule type="expression" priority="2" aboveAverage="0" equalAverage="0" bottom="0" percent="0" rank="0" text="" dxfId="6">
      <formula>B$3&gt;Assumptions!$B$6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N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4" min="2" style="0" width="12.5"/>
  </cols>
  <sheetData>
    <row r="1" customFormat="false" ht="17.35" hidden="false" customHeight="false" outlineLevel="0" collapsed="false">
      <c r="A1" s="19" t="s">
        <v>203</v>
      </c>
    </row>
    <row r="2" customFormat="false" ht="15" hidden="false" customHeight="false" outlineLevel="0" collapsed="false">
      <c r="A2" s="2" t="s">
        <v>204</v>
      </c>
    </row>
    <row r="3" customFormat="false" ht="15" hidden="false" customHeight="false" outlineLevel="0" collapsed="false">
      <c r="A3" s="21" t="s">
        <v>187</v>
      </c>
      <c r="B3" s="64" t="n">
        <v>1</v>
      </c>
      <c r="C3" s="64" t="n">
        <v>2</v>
      </c>
      <c r="D3" s="64" t="n">
        <v>3</v>
      </c>
      <c r="E3" s="64" t="n">
        <v>4</v>
      </c>
      <c r="F3" s="64" t="n">
        <v>5</v>
      </c>
      <c r="G3" s="64" t="n">
        <v>6</v>
      </c>
      <c r="H3" s="64" t="n">
        <v>7</v>
      </c>
      <c r="I3" s="64" t="n">
        <v>8</v>
      </c>
      <c r="J3" s="64" t="n">
        <v>9</v>
      </c>
      <c r="K3" s="64" t="n">
        <v>10</v>
      </c>
      <c r="L3" s="64" t="n">
        <v>11</v>
      </c>
      <c r="M3" s="64" t="n">
        <v>12</v>
      </c>
    </row>
    <row r="4" customFormat="false" ht="15" hidden="false" customHeight="false" outlineLevel="0" collapsed="false">
      <c r="A4" s="25" t="s">
        <v>58</v>
      </c>
      <c r="B4" s="23" t="s">
        <v>188</v>
      </c>
      <c r="C4" s="23" t="s">
        <v>189</v>
      </c>
      <c r="D4" s="23" t="s">
        <v>190</v>
      </c>
      <c r="E4" s="23" t="s">
        <v>191</v>
      </c>
      <c r="F4" s="23" t="s">
        <v>192</v>
      </c>
      <c r="G4" s="23" t="s">
        <v>193</v>
      </c>
      <c r="H4" s="23" t="s">
        <v>194</v>
      </c>
      <c r="I4" s="23" t="s">
        <v>195</v>
      </c>
      <c r="J4" s="23" t="s">
        <v>196</v>
      </c>
      <c r="K4" s="23" t="s">
        <v>197</v>
      </c>
      <c r="L4" s="23" t="s">
        <v>198</v>
      </c>
      <c r="M4" s="23" t="s">
        <v>199</v>
      </c>
      <c r="N4" s="23" t="s">
        <v>200</v>
      </c>
    </row>
    <row r="5" customFormat="false" ht="15" hidden="false" customHeight="false" outlineLevel="0" collapsed="false">
      <c r="A5" s="26" t="s">
        <v>65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customFormat="false" ht="15" hidden="false" customHeight="false" outlineLevel="0" collapsed="false">
      <c r="A6" s="28" t="s">
        <v>66</v>
      </c>
      <c r="B6" s="29" t="n">
        <f aca="false">ROUND(Assumptions!$B$11*Assumptions!B$17,0)</f>
        <v>11700</v>
      </c>
      <c r="C6" s="29" t="n">
        <f aca="false">ROUND(Assumptions!$B$11*Assumptions!C$17,0)</f>
        <v>11700</v>
      </c>
      <c r="D6" s="29" t="n">
        <f aca="false">ROUND(Assumptions!$B$11*Assumptions!D$17,0)</f>
        <v>13500</v>
      </c>
      <c r="E6" s="29" t="n">
        <f aca="false">ROUND(Assumptions!$B$11*Assumptions!E$17,0)</f>
        <v>13500</v>
      </c>
      <c r="F6" s="29" t="n">
        <f aca="false">ROUND(Assumptions!$B$11*Assumptions!F$17,0)</f>
        <v>14400</v>
      </c>
      <c r="G6" s="29" t="n">
        <f aca="false">ROUND(Assumptions!$B$11*Assumptions!G$17,0)</f>
        <v>13500</v>
      </c>
      <c r="H6" s="29" t="n">
        <f aca="false">ROUND(Assumptions!$B$11*Assumptions!H$17,0)</f>
        <v>12600</v>
      </c>
      <c r="I6" s="29" t="n">
        <f aca="false">ROUND(Assumptions!$B$11*Assumptions!I$17,0)</f>
        <v>13500</v>
      </c>
      <c r="J6" s="29" t="n">
        <f aca="false">ROUND(Assumptions!$B$11*Assumptions!J$17,0)</f>
        <v>15300</v>
      </c>
      <c r="K6" s="29" t="n">
        <f aca="false">ROUND(Assumptions!$B$11*Assumptions!K$17,0)</f>
        <v>17100</v>
      </c>
      <c r="L6" s="29" t="n">
        <f aca="false">ROUND(Assumptions!$B$11*Assumptions!L$17,0)</f>
        <v>22500</v>
      </c>
      <c r="M6" s="29" t="n">
        <f aca="false">ROUND(Assumptions!$B$11*Assumptions!M$17,0)</f>
        <v>20700</v>
      </c>
      <c r="N6" s="30" t="n">
        <f aca="false">SUM(B6:M6)</f>
        <v>180000</v>
      </c>
    </row>
    <row r="7" customFormat="false" ht="15" hidden="false" customHeight="false" outlineLevel="0" collapsed="false">
      <c r="A7" s="28" t="s">
        <v>67</v>
      </c>
      <c r="B7" s="29" t="n">
        <f aca="false">ROUND(Assumptions!$B$12*Assumptions!B$17,0)</f>
        <v>7800</v>
      </c>
      <c r="C7" s="29" t="n">
        <f aca="false">ROUND(Assumptions!$B$12*Assumptions!C$17,0)</f>
        <v>7800</v>
      </c>
      <c r="D7" s="29" t="n">
        <f aca="false">ROUND(Assumptions!$B$12*Assumptions!D$17,0)</f>
        <v>9000</v>
      </c>
      <c r="E7" s="29" t="n">
        <f aca="false">ROUND(Assumptions!$B$12*Assumptions!E$17,0)</f>
        <v>9000</v>
      </c>
      <c r="F7" s="29" t="n">
        <f aca="false">ROUND(Assumptions!$B$12*Assumptions!F$17,0)</f>
        <v>9600</v>
      </c>
      <c r="G7" s="29" t="n">
        <f aca="false">ROUND(Assumptions!$B$12*Assumptions!G$17,0)</f>
        <v>9000</v>
      </c>
      <c r="H7" s="29" t="n">
        <f aca="false">ROUND(Assumptions!$B$12*Assumptions!H$17,0)</f>
        <v>8400</v>
      </c>
      <c r="I7" s="29" t="n">
        <f aca="false">ROUND(Assumptions!$B$12*Assumptions!I$17,0)</f>
        <v>9000</v>
      </c>
      <c r="J7" s="29" t="n">
        <f aca="false">ROUND(Assumptions!$B$12*Assumptions!J$17,0)</f>
        <v>10200</v>
      </c>
      <c r="K7" s="29" t="n">
        <f aca="false">ROUND(Assumptions!$B$12*Assumptions!K$17,0)</f>
        <v>11400</v>
      </c>
      <c r="L7" s="29" t="n">
        <f aca="false">ROUND(Assumptions!$B$12*Assumptions!L$17,0)</f>
        <v>15000</v>
      </c>
      <c r="M7" s="29" t="n">
        <f aca="false">ROUND(Assumptions!$B$12*Assumptions!M$17,0)</f>
        <v>13800</v>
      </c>
      <c r="N7" s="30" t="n">
        <f aca="false">SUM(B7:M7)</f>
        <v>120000</v>
      </c>
    </row>
    <row r="8" customFormat="false" ht="15" hidden="false" customHeight="false" outlineLevel="0" collapsed="false">
      <c r="A8" s="28" t="s">
        <v>68</v>
      </c>
      <c r="B8" s="29" t="n">
        <f aca="false">ROUND(Assumptions!$B$13*Assumptions!B$17,0)</f>
        <v>3900</v>
      </c>
      <c r="C8" s="29" t="n">
        <f aca="false">ROUND(Assumptions!$B$13*Assumptions!C$17,0)</f>
        <v>3900</v>
      </c>
      <c r="D8" s="29" t="n">
        <f aca="false">ROUND(Assumptions!$B$13*Assumptions!D$17,0)</f>
        <v>4500</v>
      </c>
      <c r="E8" s="29" t="n">
        <f aca="false">ROUND(Assumptions!$B$13*Assumptions!E$17,0)</f>
        <v>4500</v>
      </c>
      <c r="F8" s="29" t="n">
        <f aca="false">ROUND(Assumptions!$B$13*Assumptions!F$17,0)</f>
        <v>4800</v>
      </c>
      <c r="G8" s="29" t="n">
        <f aca="false">ROUND(Assumptions!$B$13*Assumptions!G$17,0)</f>
        <v>4500</v>
      </c>
      <c r="H8" s="29" t="n">
        <f aca="false">ROUND(Assumptions!$B$13*Assumptions!H$17,0)</f>
        <v>4200</v>
      </c>
      <c r="I8" s="29" t="n">
        <f aca="false">ROUND(Assumptions!$B$13*Assumptions!I$17,0)</f>
        <v>4500</v>
      </c>
      <c r="J8" s="29" t="n">
        <f aca="false">ROUND(Assumptions!$B$13*Assumptions!J$17,0)</f>
        <v>5100</v>
      </c>
      <c r="K8" s="29" t="n">
        <f aca="false">ROUND(Assumptions!$B$13*Assumptions!K$17,0)</f>
        <v>5700</v>
      </c>
      <c r="L8" s="29" t="n">
        <f aca="false">ROUND(Assumptions!$B$13*Assumptions!L$17,0)</f>
        <v>7500</v>
      </c>
      <c r="M8" s="29" t="n">
        <f aca="false">ROUND(Assumptions!$B$13*Assumptions!M$17,0)</f>
        <v>6900</v>
      </c>
      <c r="N8" s="30" t="n">
        <f aca="false">SUM(B8:M8)</f>
        <v>60000</v>
      </c>
    </row>
    <row r="9" customFormat="false" ht="15" hidden="false" customHeight="false" outlineLevel="0" collapsed="false">
      <c r="A9" s="3" t="s">
        <v>69</v>
      </c>
      <c r="B9" s="35" t="n">
        <f aca="false">SUM(B6:B8)</f>
        <v>23400</v>
      </c>
      <c r="C9" s="35" t="n">
        <f aca="false">SUM(C6:C8)</f>
        <v>23400</v>
      </c>
      <c r="D9" s="35" t="n">
        <f aca="false">SUM(D6:D8)</f>
        <v>27000</v>
      </c>
      <c r="E9" s="35" t="n">
        <f aca="false">SUM(E6:E8)</f>
        <v>27000</v>
      </c>
      <c r="F9" s="35" t="n">
        <f aca="false">SUM(F6:F8)</f>
        <v>28800</v>
      </c>
      <c r="G9" s="35" t="n">
        <f aca="false">SUM(G6:G8)</f>
        <v>27000</v>
      </c>
      <c r="H9" s="35" t="n">
        <f aca="false">SUM(H6:H8)</f>
        <v>25200</v>
      </c>
      <c r="I9" s="35" t="n">
        <f aca="false">SUM(I6:I8)</f>
        <v>27000</v>
      </c>
      <c r="J9" s="35" t="n">
        <f aca="false">SUM(J6:J8)</f>
        <v>30600</v>
      </c>
      <c r="K9" s="35" t="n">
        <f aca="false">SUM(K6:K8)</f>
        <v>34200</v>
      </c>
      <c r="L9" s="35" t="n">
        <f aca="false">SUM(L6:L8)</f>
        <v>45000</v>
      </c>
      <c r="M9" s="35" t="n">
        <f aca="false">SUM(M6:M8)</f>
        <v>41400</v>
      </c>
      <c r="N9" s="35" t="n">
        <f aca="false">SUM(N6:N8)</f>
        <v>360000</v>
      </c>
    </row>
    <row r="11" customFormat="false" ht="15" hidden="false" customHeight="false" outlineLevel="0" collapsed="false">
      <c r="A11" s="26" t="s">
        <v>70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</row>
    <row r="12" customFormat="false" ht="15" hidden="false" customHeight="false" outlineLevel="0" collapsed="false">
      <c r="A12" s="28" t="s">
        <v>66</v>
      </c>
      <c r="B12" s="39" t="n">
        <f aca="false">B6*Assumptions!$C$11</f>
        <v>561600</v>
      </c>
      <c r="C12" s="39" t="n">
        <f aca="false">C6*Assumptions!$C$11</f>
        <v>561600</v>
      </c>
      <c r="D12" s="39" t="n">
        <f aca="false">D6*Assumptions!$C$11</f>
        <v>648000</v>
      </c>
      <c r="E12" s="39" t="n">
        <f aca="false">E6*Assumptions!$C$11</f>
        <v>648000</v>
      </c>
      <c r="F12" s="39" t="n">
        <f aca="false">F6*Assumptions!$C$11</f>
        <v>691200</v>
      </c>
      <c r="G12" s="39" t="n">
        <f aca="false">G6*Assumptions!$C$11</f>
        <v>648000</v>
      </c>
      <c r="H12" s="39" t="n">
        <f aca="false">H6*Assumptions!$C$11</f>
        <v>604800</v>
      </c>
      <c r="I12" s="39" t="n">
        <f aca="false">I6*Assumptions!$C$11</f>
        <v>648000</v>
      </c>
      <c r="J12" s="39" t="n">
        <f aca="false">J6*Assumptions!$C$11</f>
        <v>734400</v>
      </c>
      <c r="K12" s="39" t="n">
        <f aca="false">K6*Assumptions!$C$11</f>
        <v>820800</v>
      </c>
      <c r="L12" s="39" t="n">
        <f aca="false">L6*Assumptions!$C$11</f>
        <v>1080000</v>
      </c>
      <c r="M12" s="39" t="n">
        <f aca="false">M6*Assumptions!$C$11</f>
        <v>993600</v>
      </c>
      <c r="N12" s="40" t="n">
        <f aca="false">SUM(B12:M12)</f>
        <v>8640000</v>
      </c>
    </row>
    <row r="13" customFormat="false" ht="15" hidden="false" customHeight="false" outlineLevel="0" collapsed="false">
      <c r="A13" s="28" t="s">
        <v>67</v>
      </c>
      <c r="B13" s="39" t="n">
        <f aca="false">B7*Assumptions!$C$12</f>
        <v>507000</v>
      </c>
      <c r="C13" s="39" t="n">
        <f aca="false">C7*Assumptions!$C$12</f>
        <v>507000</v>
      </c>
      <c r="D13" s="39" t="n">
        <f aca="false">D7*Assumptions!$C$12</f>
        <v>585000</v>
      </c>
      <c r="E13" s="39" t="n">
        <f aca="false">E7*Assumptions!$C$12</f>
        <v>585000</v>
      </c>
      <c r="F13" s="39" t="n">
        <f aca="false">F7*Assumptions!$C$12</f>
        <v>624000</v>
      </c>
      <c r="G13" s="39" t="n">
        <f aca="false">G7*Assumptions!$C$12</f>
        <v>585000</v>
      </c>
      <c r="H13" s="39" t="n">
        <f aca="false">H7*Assumptions!$C$12</f>
        <v>546000</v>
      </c>
      <c r="I13" s="39" t="n">
        <f aca="false">I7*Assumptions!$C$12</f>
        <v>585000</v>
      </c>
      <c r="J13" s="39" t="n">
        <f aca="false">J7*Assumptions!$C$12</f>
        <v>663000</v>
      </c>
      <c r="K13" s="39" t="n">
        <f aca="false">K7*Assumptions!$C$12</f>
        <v>741000</v>
      </c>
      <c r="L13" s="39" t="n">
        <f aca="false">L7*Assumptions!$C$12</f>
        <v>975000</v>
      </c>
      <c r="M13" s="39" t="n">
        <f aca="false">M7*Assumptions!$C$12</f>
        <v>897000</v>
      </c>
      <c r="N13" s="40" t="n">
        <f aca="false">SUM(B13:M13)</f>
        <v>7800000</v>
      </c>
    </row>
    <row r="14" customFormat="false" ht="15" hidden="false" customHeight="false" outlineLevel="0" collapsed="false">
      <c r="A14" s="28" t="s">
        <v>68</v>
      </c>
      <c r="B14" s="39" t="n">
        <f aca="false">B8*Assumptions!$C$13</f>
        <v>429000</v>
      </c>
      <c r="C14" s="39" t="n">
        <f aca="false">C8*Assumptions!$C$13</f>
        <v>429000</v>
      </c>
      <c r="D14" s="39" t="n">
        <f aca="false">D8*Assumptions!$C$13</f>
        <v>495000</v>
      </c>
      <c r="E14" s="39" t="n">
        <f aca="false">E8*Assumptions!$C$13</f>
        <v>495000</v>
      </c>
      <c r="F14" s="39" t="n">
        <f aca="false">F8*Assumptions!$C$13</f>
        <v>528000</v>
      </c>
      <c r="G14" s="39" t="n">
        <f aca="false">G8*Assumptions!$C$13</f>
        <v>495000</v>
      </c>
      <c r="H14" s="39" t="n">
        <f aca="false">H8*Assumptions!$C$13</f>
        <v>462000</v>
      </c>
      <c r="I14" s="39" t="n">
        <f aca="false">I8*Assumptions!$C$13</f>
        <v>495000</v>
      </c>
      <c r="J14" s="39" t="n">
        <f aca="false">J8*Assumptions!$C$13</f>
        <v>561000</v>
      </c>
      <c r="K14" s="39" t="n">
        <f aca="false">K8*Assumptions!$C$13</f>
        <v>627000</v>
      </c>
      <c r="L14" s="39" t="n">
        <f aca="false">L8*Assumptions!$C$13</f>
        <v>825000</v>
      </c>
      <c r="M14" s="39" t="n">
        <f aca="false">M8*Assumptions!$C$13</f>
        <v>759000</v>
      </c>
      <c r="N14" s="40" t="n">
        <f aca="false">SUM(B14:M14)</f>
        <v>6600000</v>
      </c>
    </row>
    <row r="15" customFormat="false" ht="15" hidden="false" customHeight="false" outlineLevel="0" collapsed="false">
      <c r="A15" s="3" t="s">
        <v>71</v>
      </c>
      <c r="B15" s="42" t="n">
        <f aca="false">SUM(B12:B14)</f>
        <v>1497600</v>
      </c>
      <c r="C15" s="42" t="n">
        <f aca="false">SUM(C12:C14)</f>
        <v>1497600</v>
      </c>
      <c r="D15" s="42" t="n">
        <f aca="false">SUM(D12:D14)</f>
        <v>1728000</v>
      </c>
      <c r="E15" s="42" t="n">
        <f aca="false">SUM(E12:E14)</f>
        <v>1728000</v>
      </c>
      <c r="F15" s="42" t="n">
        <f aca="false">SUM(F12:F14)</f>
        <v>1843200</v>
      </c>
      <c r="G15" s="42" t="n">
        <f aca="false">SUM(G12:G14)</f>
        <v>1728000</v>
      </c>
      <c r="H15" s="42" t="n">
        <f aca="false">SUM(H12:H14)</f>
        <v>1612800</v>
      </c>
      <c r="I15" s="42" t="n">
        <f aca="false">SUM(I12:I14)</f>
        <v>1728000</v>
      </c>
      <c r="J15" s="42" t="n">
        <f aca="false">SUM(J12:J14)</f>
        <v>1958400</v>
      </c>
      <c r="K15" s="42" t="n">
        <f aca="false">SUM(K12:K14)</f>
        <v>2188800</v>
      </c>
      <c r="L15" s="42" t="n">
        <f aca="false">SUM(L12:L14)</f>
        <v>2880000</v>
      </c>
      <c r="M15" s="42" t="n">
        <f aca="false">SUM(M12:M14)</f>
        <v>2649600</v>
      </c>
      <c r="N15" s="42" t="n">
        <f aca="false">SUM(N12:N14)</f>
        <v>23040000</v>
      </c>
    </row>
    <row r="17" customFormat="false" ht="15" hidden="false" customHeight="false" outlineLevel="0" collapsed="false">
      <c r="A17" s="26" t="s">
        <v>72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</row>
    <row r="18" customFormat="false" ht="15" hidden="false" customHeight="false" outlineLevel="0" collapsed="false">
      <c r="A18" s="28" t="s">
        <v>73</v>
      </c>
      <c r="B18" s="39" t="n">
        <f aca="false">SUMPRODUCT(B6:B8,Assumptions!$D$11:$D$13)</f>
        <v>546000</v>
      </c>
      <c r="C18" s="39" t="n">
        <f aca="false">SUMPRODUCT(C6:C8,Assumptions!$D$11:$D$13)</f>
        <v>546000</v>
      </c>
      <c r="D18" s="39" t="n">
        <f aca="false">SUMPRODUCT(D6:D8,Assumptions!$D$11:$D$13)</f>
        <v>630000</v>
      </c>
      <c r="E18" s="39" t="n">
        <f aca="false">SUMPRODUCT(E6:E8,Assumptions!$D$11:$D$13)</f>
        <v>630000</v>
      </c>
      <c r="F18" s="39" t="n">
        <f aca="false">SUMPRODUCT(F6:F8,Assumptions!$D$11:$D$13)</f>
        <v>672000</v>
      </c>
      <c r="G18" s="39" t="n">
        <f aca="false">SUMPRODUCT(G6:G8,Assumptions!$D$11:$D$13)</f>
        <v>630000</v>
      </c>
      <c r="H18" s="39" t="n">
        <f aca="false">SUMPRODUCT(H6:H8,Assumptions!$D$11:$D$13)</f>
        <v>588000</v>
      </c>
      <c r="I18" s="39" t="n">
        <f aca="false">SUMPRODUCT(I6:I8,Assumptions!$D$11:$D$13)</f>
        <v>630000</v>
      </c>
      <c r="J18" s="39" t="n">
        <f aca="false">SUMPRODUCT(J6:J8,Assumptions!$D$11:$D$13)</f>
        <v>714000</v>
      </c>
      <c r="K18" s="39" t="n">
        <f aca="false">SUMPRODUCT(K6:K8,Assumptions!$D$11:$D$13)</f>
        <v>798000</v>
      </c>
      <c r="L18" s="39" t="n">
        <f aca="false">SUMPRODUCT(L6:L8,Assumptions!$D$11:$D$13)</f>
        <v>1050000</v>
      </c>
      <c r="M18" s="39" t="n">
        <f aca="false">SUMPRODUCT(M6:M8,Assumptions!$D$11:$D$13)</f>
        <v>966000</v>
      </c>
      <c r="N18" s="40" t="n">
        <f aca="false">SUM(B18:M18)</f>
        <v>8400000</v>
      </c>
    </row>
    <row r="19" customFormat="false" ht="15" hidden="false" customHeight="false" outlineLevel="0" collapsed="false">
      <c r="A19" s="28" t="s">
        <v>74</v>
      </c>
      <c r="B19" s="39" t="n">
        <f aca="false">SUMPRODUCT(B6:B8,Assumptions!$E$11:$E$13)</f>
        <v>171600</v>
      </c>
      <c r="C19" s="39" t="n">
        <f aca="false">SUMPRODUCT(C6:C8,Assumptions!$E$11:$E$13)</f>
        <v>171600</v>
      </c>
      <c r="D19" s="39" t="n">
        <f aca="false">SUMPRODUCT(D6:D8,Assumptions!$E$11:$E$13)</f>
        <v>198000</v>
      </c>
      <c r="E19" s="39" t="n">
        <f aca="false">SUMPRODUCT(E6:E8,Assumptions!$E$11:$E$13)</f>
        <v>198000</v>
      </c>
      <c r="F19" s="39" t="n">
        <f aca="false">SUMPRODUCT(F6:F8,Assumptions!$E$11:$E$13)</f>
        <v>211200</v>
      </c>
      <c r="G19" s="39" t="n">
        <f aca="false">SUMPRODUCT(G6:G8,Assumptions!$E$11:$E$13)</f>
        <v>198000</v>
      </c>
      <c r="H19" s="39" t="n">
        <f aca="false">SUMPRODUCT(H6:H8,Assumptions!$E$11:$E$13)</f>
        <v>184800</v>
      </c>
      <c r="I19" s="39" t="n">
        <f aca="false">SUMPRODUCT(I6:I8,Assumptions!$E$11:$E$13)</f>
        <v>198000</v>
      </c>
      <c r="J19" s="39" t="n">
        <f aca="false">SUMPRODUCT(J6:J8,Assumptions!$E$11:$E$13)</f>
        <v>224400</v>
      </c>
      <c r="K19" s="39" t="n">
        <f aca="false">SUMPRODUCT(K6:K8,Assumptions!$E$11:$E$13)</f>
        <v>250800</v>
      </c>
      <c r="L19" s="39" t="n">
        <f aca="false">SUMPRODUCT(L6:L8,Assumptions!$E$11:$E$13)</f>
        <v>330000</v>
      </c>
      <c r="M19" s="39" t="n">
        <f aca="false">SUMPRODUCT(M6:M8,Assumptions!$E$11:$E$13)</f>
        <v>303600</v>
      </c>
      <c r="N19" s="40" t="n">
        <f aca="false">SUM(B19:M19)</f>
        <v>2640000</v>
      </c>
    </row>
    <row r="20" customFormat="false" ht="15" hidden="false" customHeight="false" outlineLevel="0" collapsed="false">
      <c r="A20" s="28" t="s">
        <v>75</v>
      </c>
      <c r="B20" s="39" t="n">
        <f aca="false">B15*Assumptions!$B$20</f>
        <v>67392</v>
      </c>
      <c r="C20" s="39" t="n">
        <f aca="false">C15*Assumptions!$B$20</f>
        <v>67392</v>
      </c>
      <c r="D20" s="39" t="n">
        <f aca="false">D15*Assumptions!$B$20</f>
        <v>77760</v>
      </c>
      <c r="E20" s="39" t="n">
        <f aca="false">E15*Assumptions!$B$20</f>
        <v>77760</v>
      </c>
      <c r="F20" s="39" t="n">
        <f aca="false">F15*Assumptions!$B$20</f>
        <v>82944</v>
      </c>
      <c r="G20" s="39" t="n">
        <f aca="false">G15*Assumptions!$B$20</f>
        <v>77760</v>
      </c>
      <c r="H20" s="39" t="n">
        <f aca="false">H15*Assumptions!$B$20</f>
        <v>72576</v>
      </c>
      <c r="I20" s="39" t="n">
        <f aca="false">I15*Assumptions!$B$20</f>
        <v>77760</v>
      </c>
      <c r="J20" s="39" t="n">
        <f aca="false">J15*Assumptions!$B$20</f>
        <v>88128</v>
      </c>
      <c r="K20" s="39" t="n">
        <f aca="false">K15*Assumptions!$B$20</f>
        <v>98496</v>
      </c>
      <c r="L20" s="39" t="n">
        <f aca="false">L15*Assumptions!$B$20</f>
        <v>129600</v>
      </c>
      <c r="M20" s="39" t="n">
        <f aca="false">M15*Assumptions!$B$20</f>
        <v>119232</v>
      </c>
      <c r="N20" s="40" t="n">
        <f aca="false">SUM(B20:M20)</f>
        <v>1036800</v>
      </c>
    </row>
    <row r="21" customFormat="false" ht="15" hidden="false" customHeight="false" outlineLevel="0" collapsed="false">
      <c r="A21" s="3" t="s">
        <v>76</v>
      </c>
      <c r="B21" s="42" t="n">
        <f aca="false">SUM(B18:B20)</f>
        <v>784992</v>
      </c>
      <c r="C21" s="42" t="n">
        <f aca="false">SUM(C18:C20)</f>
        <v>784992</v>
      </c>
      <c r="D21" s="42" t="n">
        <f aca="false">SUM(D18:D20)</f>
        <v>905760</v>
      </c>
      <c r="E21" s="42" t="n">
        <f aca="false">SUM(E18:E20)</f>
        <v>905760</v>
      </c>
      <c r="F21" s="42" t="n">
        <f aca="false">SUM(F18:F20)</f>
        <v>966144</v>
      </c>
      <c r="G21" s="42" t="n">
        <f aca="false">SUM(G18:G20)</f>
        <v>905760</v>
      </c>
      <c r="H21" s="42" t="n">
        <f aca="false">SUM(H18:H20)</f>
        <v>845376</v>
      </c>
      <c r="I21" s="42" t="n">
        <f aca="false">SUM(I18:I20)</f>
        <v>905760</v>
      </c>
      <c r="J21" s="42" t="n">
        <f aca="false">SUM(J18:J20)</f>
        <v>1026528</v>
      </c>
      <c r="K21" s="42" t="n">
        <f aca="false">SUM(K18:K20)</f>
        <v>1147296</v>
      </c>
      <c r="L21" s="42" t="n">
        <f aca="false">SUM(L18:L20)</f>
        <v>1509600</v>
      </c>
      <c r="M21" s="42" t="n">
        <f aca="false">SUM(M18:M20)</f>
        <v>1388832</v>
      </c>
      <c r="N21" s="42" t="n">
        <f aca="false">SUM(N18:N20)</f>
        <v>12076800</v>
      </c>
    </row>
    <row r="22" customFormat="false" ht="15" hidden="false" customHeight="false" outlineLevel="0" collapsed="false">
      <c r="A22" s="43" t="s">
        <v>77</v>
      </c>
      <c r="B22" s="45" t="n">
        <f aca="false">B15-B21</f>
        <v>712608</v>
      </c>
      <c r="C22" s="45" t="n">
        <f aca="false">C15-C21</f>
        <v>712608</v>
      </c>
      <c r="D22" s="45" t="n">
        <f aca="false">D15-D21</f>
        <v>822240</v>
      </c>
      <c r="E22" s="45" t="n">
        <f aca="false">E15-E21</f>
        <v>822240</v>
      </c>
      <c r="F22" s="45" t="n">
        <f aca="false">F15-F21</f>
        <v>877056</v>
      </c>
      <c r="G22" s="45" t="n">
        <f aca="false">G15-G21</f>
        <v>822240</v>
      </c>
      <c r="H22" s="45" t="n">
        <f aca="false">H15-H21</f>
        <v>767424</v>
      </c>
      <c r="I22" s="45" t="n">
        <f aca="false">I15-I21</f>
        <v>822240</v>
      </c>
      <c r="J22" s="45" t="n">
        <f aca="false">J15-J21</f>
        <v>931872</v>
      </c>
      <c r="K22" s="45" t="n">
        <f aca="false">K15-K21</f>
        <v>1041504</v>
      </c>
      <c r="L22" s="45" t="n">
        <f aca="false">L15-L21</f>
        <v>1370400</v>
      </c>
      <c r="M22" s="45" t="n">
        <f aca="false">M15-M21</f>
        <v>1260768</v>
      </c>
      <c r="N22" s="45" t="n">
        <f aca="false">N15-N21</f>
        <v>10963200</v>
      </c>
    </row>
    <row r="23" customFormat="false" ht="15" hidden="false" customHeight="false" outlineLevel="0" collapsed="false">
      <c r="A23" s="3" t="s">
        <v>78</v>
      </c>
      <c r="B23" s="49" t="n">
        <f aca="false">IF(B15=0,0,B22/B15)</f>
        <v>0.475833333333333</v>
      </c>
      <c r="C23" s="49" t="n">
        <f aca="false">IF(C15=0,0,C22/C15)</f>
        <v>0.475833333333333</v>
      </c>
      <c r="D23" s="49" t="n">
        <f aca="false">IF(D15=0,0,D22/D15)</f>
        <v>0.475833333333333</v>
      </c>
      <c r="E23" s="49" t="n">
        <f aca="false">IF(E15=0,0,E22/E15)</f>
        <v>0.475833333333333</v>
      </c>
      <c r="F23" s="49" t="n">
        <f aca="false">IF(F15=0,0,F22/F15)</f>
        <v>0.475833333333333</v>
      </c>
      <c r="G23" s="49" t="n">
        <f aca="false">IF(G15=0,0,G22/G15)</f>
        <v>0.475833333333333</v>
      </c>
      <c r="H23" s="49" t="n">
        <f aca="false">IF(H15=0,0,H22/H15)</f>
        <v>0.475833333333333</v>
      </c>
      <c r="I23" s="49" t="n">
        <f aca="false">IF(I15=0,0,I22/I15)</f>
        <v>0.475833333333333</v>
      </c>
      <c r="J23" s="49" t="n">
        <f aca="false">IF(J15=0,0,J22/J15)</f>
        <v>0.475833333333333</v>
      </c>
      <c r="K23" s="49" t="n">
        <f aca="false">IF(K15=0,0,K22/K15)</f>
        <v>0.475833333333333</v>
      </c>
      <c r="L23" s="49" t="n">
        <f aca="false">IF(L15=0,0,L22/L15)</f>
        <v>0.475833333333333</v>
      </c>
      <c r="M23" s="49" t="n">
        <f aca="false">IF(M15=0,0,M22/M15)</f>
        <v>0.475833333333333</v>
      </c>
      <c r="N23" s="49" t="n">
        <f aca="false">IF(N15=0,0,N22/N15)</f>
        <v>0.475833333333333</v>
      </c>
    </row>
    <row r="25" customFormat="false" ht="15" hidden="false" customHeight="false" outlineLevel="0" collapsed="false">
      <c r="A25" s="26" t="s">
        <v>79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</row>
    <row r="26" customFormat="false" ht="15" hidden="false" customHeight="false" outlineLevel="0" collapsed="false">
      <c r="A26" s="28" t="s">
        <v>80</v>
      </c>
      <c r="B26" s="39" t="n">
        <f aca="false">Assumptions!$B$22*IF(B$3&gt;=Assumptions!$B$24,1+Assumptions!$B$23,1)</f>
        <v>285000</v>
      </c>
      <c r="C26" s="39" t="n">
        <f aca="false">Assumptions!$B$22*IF(C$3&gt;=Assumptions!$B$24,1+Assumptions!$B$23,1)</f>
        <v>285000</v>
      </c>
      <c r="D26" s="39" t="n">
        <f aca="false">Assumptions!$B$22*IF(D$3&gt;=Assumptions!$B$24,1+Assumptions!$B$23,1)</f>
        <v>285000</v>
      </c>
      <c r="E26" s="39" t="n">
        <f aca="false">Assumptions!$B$22*IF(E$3&gt;=Assumptions!$B$24,1+Assumptions!$B$23,1)</f>
        <v>293550</v>
      </c>
      <c r="F26" s="39" t="n">
        <f aca="false">Assumptions!$B$22*IF(F$3&gt;=Assumptions!$B$24,1+Assumptions!$B$23,1)</f>
        <v>293550</v>
      </c>
      <c r="G26" s="39" t="n">
        <f aca="false">Assumptions!$B$22*IF(G$3&gt;=Assumptions!$B$24,1+Assumptions!$B$23,1)</f>
        <v>293550</v>
      </c>
      <c r="H26" s="39" t="n">
        <f aca="false">Assumptions!$B$22*IF(H$3&gt;=Assumptions!$B$24,1+Assumptions!$B$23,1)</f>
        <v>293550</v>
      </c>
      <c r="I26" s="39" t="n">
        <f aca="false">Assumptions!$B$22*IF(I$3&gt;=Assumptions!$B$24,1+Assumptions!$B$23,1)</f>
        <v>293550</v>
      </c>
      <c r="J26" s="39" t="n">
        <f aca="false">Assumptions!$B$22*IF(J$3&gt;=Assumptions!$B$24,1+Assumptions!$B$23,1)</f>
        <v>293550</v>
      </c>
      <c r="K26" s="39" t="n">
        <f aca="false">Assumptions!$B$22*IF(K$3&gt;=Assumptions!$B$24,1+Assumptions!$B$23,1)</f>
        <v>293550</v>
      </c>
      <c r="L26" s="39" t="n">
        <f aca="false">Assumptions!$B$22*IF(L$3&gt;=Assumptions!$B$24,1+Assumptions!$B$23,1)</f>
        <v>293550</v>
      </c>
      <c r="M26" s="39" t="n">
        <f aca="false">Assumptions!$B$22*IF(M$3&gt;=Assumptions!$B$24,1+Assumptions!$B$23,1)</f>
        <v>293550</v>
      </c>
      <c r="N26" s="40" t="n">
        <f aca="false">SUM(B26:M26)</f>
        <v>3496950</v>
      </c>
    </row>
    <row r="27" customFormat="false" ht="15" hidden="false" customHeight="false" outlineLevel="0" collapsed="false">
      <c r="A27" s="28" t="s">
        <v>81</v>
      </c>
      <c r="B27" s="39" t="n">
        <f aca="false">B15*Assumptions!$B$21</f>
        <v>134784</v>
      </c>
      <c r="C27" s="39" t="n">
        <f aca="false">C15*Assumptions!$B$21</f>
        <v>134784</v>
      </c>
      <c r="D27" s="39" t="n">
        <f aca="false">D15*Assumptions!$B$21</f>
        <v>155520</v>
      </c>
      <c r="E27" s="39" t="n">
        <f aca="false">E15*Assumptions!$B$21</f>
        <v>155520</v>
      </c>
      <c r="F27" s="39" t="n">
        <f aca="false">F15*Assumptions!$B$21</f>
        <v>165888</v>
      </c>
      <c r="G27" s="39" t="n">
        <f aca="false">G15*Assumptions!$B$21</f>
        <v>155520</v>
      </c>
      <c r="H27" s="39" t="n">
        <f aca="false">H15*Assumptions!$B$21</f>
        <v>145152</v>
      </c>
      <c r="I27" s="39" t="n">
        <f aca="false">I15*Assumptions!$B$21</f>
        <v>155520</v>
      </c>
      <c r="J27" s="39" t="n">
        <f aca="false">J15*Assumptions!$B$21</f>
        <v>176256</v>
      </c>
      <c r="K27" s="39" t="n">
        <f aca="false">K15*Assumptions!$B$21</f>
        <v>196992</v>
      </c>
      <c r="L27" s="39" t="n">
        <f aca="false">L15*Assumptions!$B$21</f>
        <v>259200</v>
      </c>
      <c r="M27" s="39" t="n">
        <f aca="false">M15*Assumptions!$B$21</f>
        <v>238464</v>
      </c>
      <c r="N27" s="40" t="n">
        <f aca="false">SUM(B27:M27)</f>
        <v>2073600</v>
      </c>
    </row>
    <row r="28" customFormat="false" ht="15" hidden="false" customHeight="false" outlineLevel="0" collapsed="false">
      <c r="A28" s="28" t="s">
        <v>82</v>
      </c>
      <c r="B28" s="39" t="n">
        <f aca="false">Assumptions!$B$25</f>
        <v>62000</v>
      </c>
      <c r="C28" s="39" t="n">
        <f aca="false">Assumptions!$B$25</f>
        <v>62000</v>
      </c>
      <c r="D28" s="39" t="n">
        <f aca="false">Assumptions!$B$25</f>
        <v>62000</v>
      </c>
      <c r="E28" s="39" t="n">
        <f aca="false">Assumptions!$B$25</f>
        <v>62000</v>
      </c>
      <c r="F28" s="39" t="n">
        <f aca="false">Assumptions!$B$25</f>
        <v>62000</v>
      </c>
      <c r="G28" s="39" t="n">
        <f aca="false">Assumptions!$B$25</f>
        <v>62000</v>
      </c>
      <c r="H28" s="39" t="n">
        <f aca="false">Assumptions!$B$25</f>
        <v>62000</v>
      </c>
      <c r="I28" s="39" t="n">
        <f aca="false">Assumptions!$B$25</f>
        <v>62000</v>
      </c>
      <c r="J28" s="39" t="n">
        <f aca="false">Assumptions!$B$25</f>
        <v>62000</v>
      </c>
      <c r="K28" s="39" t="n">
        <f aca="false">Assumptions!$B$25</f>
        <v>62000</v>
      </c>
      <c r="L28" s="39" t="n">
        <f aca="false">Assumptions!$B$25</f>
        <v>62000</v>
      </c>
      <c r="M28" s="39" t="n">
        <f aca="false">Assumptions!$B$25</f>
        <v>62000</v>
      </c>
      <c r="N28" s="40" t="n">
        <f aca="false">SUM(B28:M28)</f>
        <v>744000</v>
      </c>
    </row>
    <row r="29" customFormat="false" ht="15" hidden="false" customHeight="false" outlineLevel="0" collapsed="false">
      <c r="A29" s="28" t="s">
        <v>83</v>
      </c>
      <c r="B29" s="39" t="n">
        <f aca="false">Assumptions!$B$26</f>
        <v>38000</v>
      </c>
      <c r="C29" s="39" t="n">
        <f aca="false">Assumptions!$B$26</f>
        <v>38000</v>
      </c>
      <c r="D29" s="39" t="n">
        <f aca="false">Assumptions!$B$26</f>
        <v>38000</v>
      </c>
      <c r="E29" s="39" t="n">
        <f aca="false">Assumptions!$B$26</f>
        <v>38000</v>
      </c>
      <c r="F29" s="39" t="n">
        <f aca="false">Assumptions!$B$26</f>
        <v>38000</v>
      </c>
      <c r="G29" s="39" t="n">
        <f aca="false">Assumptions!$B$26</f>
        <v>38000</v>
      </c>
      <c r="H29" s="39" t="n">
        <f aca="false">Assumptions!$B$26</f>
        <v>38000</v>
      </c>
      <c r="I29" s="39" t="n">
        <f aca="false">Assumptions!$B$26</f>
        <v>38000</v>
      </c>
      <c r="J29" s="39" t="n">
        <f aca="false">Assumptions!$B$26</f>
        <v>38000</v>
      </c>
      <c r="K29" s="39" t="n">
        <f aca="false">Assumptions!$B$26</f>
        <v>38000</v>
      </c>
      <c r="L29" s="39" t="n">
        <f aca="false">Assumptions!$B$26</f>
        <v>38000</v>
      </c>
      <c r="M29" s="39" t="n">
        <f aca="false">Assumptions!$B$26</f>
        <v>38000</v>
      </c>
      <c r="N29" s="40" t="n">
        <f aca="false">SUM(B29:M29)</f>
        <v>456000</v>
      </c>
    </row>
    <row r="30" customFormat="false" ht="15" hidden="false" customHeight="false" outlineLevel="0" collapsed="false">
      <c r="A30" s="28" t="s">
        <v>84</v>
      </c>
      <c r="B30" s="39" t="n">
        <f aca="false">Assumptions!$B$27+IF(B$3=Assumptions!$B$29,Assumptions!$B$28,0)</f>
        <v>22000</v>
      </c>
      <c r="C30" s="39" t="n">
        <f aca="false">Assumptions!$B$27+IF(C$3=Assumptions!$B$29,Assumptions!$B$28,0)</f>
        <v>22000</v>
      </c>
      <c r="D30" s="39" t="n">
        <f aca="false">Assumptions!$B$27+IF(D$3=Assumptions!$B$29,Assumptions!$B$28,0)</f>
        <v>22000</v>
      </c>
      <c r="E30" s="39" t="n">
        <f aca="false">Assumptions!$B$27+IF(E$3=Assumptions!$B$29,Assumptions!$B$28,0)</f>
        <v>57000</v>
      </c>
      <c r="F30" s="39" t="n">
        <f aca="false">Assumptions!$B$27+IF(F$3=Assumptions!$B$29,Assumptions!$B$28,0)</f>
        <v>22000</v>
      </c>
      <c r="G30" s="39" t="n">
        <f aca="false">Assumptions!$B$27+IF(G$3=Assumptions!$B$29,Assumptions!$B$28,0)</f>
        <v>22000</v>
      </c>
      <c r="H30" s="39" t="n">
        <f aca="false">Assumptions!$B$27+IF(H$3=Assumptions!$B$29,Assumptions!$B$28,0)</f>
        <v>22000</v>
      </c>
      <c r="I30" s="39" t="n">
        <f aca="false">Assumptions!$B$27+IF(I$3=Assumptions!$B$29,Assumptions!$B$28,0)</f>
        <v>22000</v>
      </c>
      <c r="J30" s="39" t="n">
        <f aca="false">Assumptions!$B$27+IF(J$3=Assumptions!$B$29,Assumptions!$B$28,0)</f>
        <v>22000</v>
      </c>
      <c r="K30" s="39" t="n">
        <f aca="false">Assumptions!$B$27+IF(K$3=Assumptions!$B$29,Assumptions!$B$28,0)</f>
        <v>22000</v>
      </c>
      <c r="L30" s="39" t="n">
        <f aca="false">Assumptions!$B$27+IF(L$3=Assumptions!$B$29,Assumptions!$B$28,0)</f>
        <v>22000</v>
      </c>
      <c r="M30" s="39" t="n">
        <f aca="false">Assumptions!$B$27+IF(M$3=Assumptions!$B$29,Assumptions!$B$28,0)</f>
        <v>22000</v>
      </c>
      <c r="N30" s="40" t="n">
        <f aca="false">SUM(B30:M30)</f>
        <v>299000</v>
      </c>
    </row>
    <row r="31" customFormat="false" ht="15" hidden="false" customHeight="false" outlineLevel="0" collapsed="false">
      <c r="A31" s="28" t="s">
        <v>85</v>
      </c>
      <c r="B31" s="39" t="n">
        <f aca="false">Assumptions!$B$30</f>
        <v>15000</v>
      </c>
      <c r="C31" s="39" t="n">
        <f aca="false">Assumptions!$B$30</f>
        <v>15000</v>
      </c>
      <c r="D31" s="39" t="n">
        <f aca="false">Assumptions!$B$30</f>
        <v>15000</v>
      </c>
      <c r="E31" s="39" t="n">
        <f aca="false">Assumptions!$B$30</f>
        <v>15000</v>
      </c>
      <c r="F31" s="39" t="n">
        <f aca="false">Assumptions!$B$30</f>
        <v>15000</v>
      </c>
      <c r="G31" s="39" t="n">
        <f aca="false">Assumptions!$B$30</f>
        <v>15000</v>
      </c>
      <c r="H31" s="39" t="n">
        <f aca="false">Assumptions!$B$30</f>
        <v>15000</v>
      </c>
      <c r="I31" s="39" t="n">
        <f aca="false">Assumptions!$B$30</f>
        <v>15000</v>
      </c>
      <c r="J31" s="39" t="n">
        <f aca="false">Assumptions!$B$30</f>
        <v>15000</v>
      </c>
      <c r="K31" s="39" t="n">
        <f aca="false">Assumptions!$B$30</f>
        <v>15000</v>
      </c>
      <c r="L31" s="39" t="n">
        <f aca="false">Assumptions!$B$30</f>
        <v>15000</v>
      </c>
      <c r="M31" s="39" t="n">
        <f aca="false">Assumptions!$B$30</f>
        <v>15000</v>
      </c>
      <c r="N31" s="40" t="n">
        <f aca="false">SUM(B31:M31)</f>
        <v>180000</v>
      </c>
    </row>
    <row r="32" customFormat="false" ht="15" hidden="false" customHeight="false" outlineLevel="0" collapsed="false">
      <c r="A32" s="28" t="s">
        <v>86</v>
      </c>
      <c r="B32" s="39" t="n">
        <f aca="false">Assumptions!$B$31</f>
        <v>12000</v>
      </c>
      <c r="C32" s="39" t="n">
        <f aca="false">Assumptions!$B$31</f>
        <v>12000</v>
      </c>
      <c r="D32" s="39" t="n">
        <f aca="false">Assumptions!$B$31</f>
        <v>12000</v>
      </c>
      <c r="E32" s="39" t="n">
        <f aca="false">Assumptions!$B$31</f>
        <v>12000</v>
      </c>
      <c r="F32" s="39" t="n">
        <f aca="false">Assumptions!$B$31</f>
        <v>12000</v>
      </c>
      <c r="G32" s="39" t="n">
        <f aca="false">Assumptions!$B$31</f>
        <v>12000</v>
      </c>
      <c r="H32" s="39" t="n">
        <f aca="false">Assumptions!$B$31</f>
        <v>12000</v>
      </c>
      <c r="I32" s="39" t="n">
        <f aca="false">Assumptions!$B$31</f>
        <v>12000</v>
      </c>
      <c r="J32" s="39" t="n">
        <f aca="false">Assumptions!$B$31</f>
        <v>12000</v>
      </c>
      <c r="K32" s="39" t="n">
        <f aca="false">Assumptions!$B$31</f>
        <v>12000</v>
      </c>
      <c r="L32" s="39" t="n">
        <f aca="false">Assumptions!$B$31</f>
        <v>12000</v>
      </c>
      <c r="M32" s="39" t="n">
        <f aca="false">Assumptions!$B$31</f>
        <v>12000</v>
      </c>
      <c r="N32" s="40" t="n">
        <f aca="false">SUM(B32:M32)</f>
        <v>144000</v>
      </c>
    </row>
    <row r="33" customFormat="false" ht="15" hidden="false" customHeight="false" outlineLevel="0" collapsed="false">
      <c r="A33" s="28" t="s">
        <v>87</v>
      </c>
      <c r="B33" s="39" t="n">
        <f aca="false">Assumptions!$B$32</f>
        <v>18000</v>
      </c>
      <c r="C33" s="39" t="n">
        <f aca="false">Assumptions!$B$32</f>
        <v>18000</v>
      </c>
      <c r="D33" s="39" t="n">
        <f aca="false">Assumptions!$B$32</f>
        <v>18000</v>
      </c>
      <c r="E33" s="39" t="n">
        <f aca="false">Assumptions!$B$32</f>
        <v>18000</v>
      </c>
      <c r="F33" s="39" t="n">
        <f aca="false">Assumptions!$B$32</f>
        <v>18000</v>
      </c>
      <c r="G33" s="39" t="n">
        <f aca="false">Assumptions!$B$32</f>
        <v>18000</v>
      </c>
      <c r="H33" s="39" t="n">
        <f aca="false">Assumptions!$B$32</f>
        <v>18000</v>
      </c>
      <c r="I33" s="39" t="n">
        <f aca="false">Assumptions!$B$32</f>
        <v>18000</v>
      </c>
      <c r="J33" s="39" t="n">
        <f aca="false">Assumptions!$B$32</f>
        <v>18000</v>
      </c>
      <c r="K33" s="39" t="n">
        <f aca="false">Assumptions!$B$32</f>
        <v>18000</v>
      </c>
      <c r="L33" s="39" t="n">
        <f aca="false">Assumptions!$B$32</f>
        <v>18000</v>
      </c>
      <c r="M33" s="39" t="n">
        <f aca="false">Assumptions!$B$32</f>
        <v>18000</v>
      </c>
      <c r="N33" s="40" t="n">
        <f aca="false">SUM(B33:M33)</f>
        <v>216000</v>
      </c>
    </row>
    <row r="34" customFormat="false" ht="15" hidden="false" customHeight="false" outlineLevel="0" collapsed="false">
      <c r="A34" s="3" t="s">
        <v>88</v>
      </c>
      <c r="B34" s="42" t="n">
        <f aca="false">SUM(B26:B33)</f>
        <v>586784</v>
      </c>
      <c r="C34" s="42" t="n">
        <f aca="false">SUM(C26:C33)</f>
        <v>586784</v>
      </c>
      <c r="D34" s="42" t="n">
        <f aca="false">SUM(D26:D33)</f>
        <v>607520</v>
      </c>
      <c r="E34" s="42" t="n">
        <f aca="false">SUM(E26:E33)</f>
        <v>651070</v>
      </c>
      <c r="F34" s="42" t="n">
        <f aca="false">SUM(F26:F33)</f>
        <v>626438</v>
      </c>
      <c r="G34" s="42" t="n">
        <f aca="false">SUM(G26:G33)</f>
        <v>616070</v>
      </c>
      <c r="H34" s="42" t="n">
        <f aca="false">SUM(H26:H33)</f>
        <v>605702</v>
      </c>
      <c r="I34" s="42" t="n">
        <f aca="false">SUM(I26:I33)</f>
        <v>616070</v>
      </c>
      <c r="J34" s="42" t="n">
        <f aca="false">SUM(J26:J33)</f>
        <v>636806</v>
      </c>
      <c r="K34" s="42" t="n">
        <f aca="false">SUM(K26:K33)</f>
        <v>657542</v>
      </c>
      <c r="L34" s="42" t="n">
        <f aca="false">SUM(L26:L33)</f>
        <v>719750</v>
      </c>
      <c r="M34" s="42" t="n">
        <f aca="false">SUM(M26:M33)</f>
        <v>699014</v>
      </c>
      <c r="N34" s="42" t="n">
        <f aca="false">SUM(N26:N33)</f>
        <v>7609550</v>
      </c>
    </row>
    <row r="35" customFormat="false" ht="15" hidden="false" customHeight="false" outlineLevel="0" collapsed="false">
      <c r="A35" s="43" t="s">
        <v>89</v>
      </c>
      <c r="B35" s="45" t="n">
        <f aca="false">B22-B34</f>
        <v>125824</v>
      </c>
      <c r="C35" s="45" t="n">
        <f aca="false">C22-C34</f>
        <v>125824</v>
      </c>
      <c r="D35" s="45" t="n">
        <f aca="false">D22-D34</f>
        <v>214720</v>
      </c>
      <c r="E35" s="45" t="n">
        <f aca="false">E22-E34</f>
        <v>171170</v>
      </c>
      <c r="F35" s="45" t="n">
        <f aca="false">F22-F34</f>
        <v>250618</v>
      </c>
      <c r="G35" s="45" t="n">
        <f aca="false">G22-G34</f>
        <v>206170</v>
      </c>
      <c r="H35" s="45" t="n">
        <f aca="false">H22-H34</f>
        <v>161722</v>
      </c>
      <c r="I35" s="45" t="n">
        <f aca="false">I22-I34</f>
        <v>206170</v>
      </c>
      <c r="J35" s="45" t="n">
        <f aca="false">J22-J34</f>
        <v>295066</v>
      </c>
      <c r="K35" s="45" t="n">
        <f aca="false">K22-K34</f>
        <v>383962</v>
      </c>
      <c r="L35" s="45" t="n">
        <f aca="false">L22-L34</f>
        <v>650650</v>
      </c>
      <c r="M35" s="45" t="n">
        <f aca="false">M22-M34</f>
        <v>561754</v>
      </c>
      <c r="N35" s="45" t="n">
        <f aca="false">N22-N34</f>
        <v>3353650</v>
      </c>
    </row>
    <row r="36" customFormat="false" ht="15" hidden="false" customHeight="false" outlineLevel="0" collapsed="false">
      <c r="A36" s="3" t="s">
        <v>90</v>
      </c>
      <c r="B36" s="49" t="n">
        <f aca="false">IF(B15=0,0,B35/B15)</f>
        <v>0.084017094017094</v>
      </c>
      <c r="C36" s="49" t="n">
        <f aca="false">IF(C15=0,0,C35/C15)</f>
        <v>0.084017094017094</v>
      </c>
      <c r="D36" s="49" t="n">
        <f aca="false">IF(D15=0,0,D35/D15)</f>
        <v>0.124259259259259</v>
      </c>
      <c r="E36" s="49" t="n">
        <f aca="false">IF(E15=0,0,E35/E15)</f>
        <v>0.099056712962963</v>
      </c>
      <c r="F36" s="49" t="n">
        <f aca="false">IF(F15=0,0,F35/F15)</f>
        <v>0.135968967013889</v>
      </c>
      <c r="G36" s="49" t="n">
        <f aca="false">IF(G15=0,0,G35/G15)</f>
        <v>0.119311342592593</v>
      </c>
      <c r="H36" s="49" t="n">
        <f aca="false">IF(H15=0,0,H35/H15)</f>
        <v>0.100274057539683</v>
      </c>
      <c r="I36" s="49" t="n">
        <f aca="false">IF(I15=0,0,I35/I15)</f>
        <v>0.119311342592593</v>
      </c>
      <c r="J36" s="49" t="n">
        <f aca="false">IF(J15=0,0,J35/J15)</f>
        <v>0.150666870915033</v>
      </c>
      <c r="K36" s="49" t="n">
        <f aca="false">IF(K15=0,0,K35/K15)</f>
        <v>0.175421235380117</v>
      </c>
      <c r="L36" s="49" t="n">
        <f aca="false">IF(L15=0,0,L35/L15)</f>
        <v>0.225920138888889</v>
      </c>
      <c r="M36" s="49" t="n">
        <f aca="false">IF(M15=0,0,M35/M15)</f>
        <v>0.212014643719807</v>
      </c>
      <c r="N36" s="49" t="n">
        <f aca="false">IF(N15=0,0,N35/N15)</f>
        <v>0.145557725694444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N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4" min="2" style="0" width="12.5"/>
  </cols>
  <sheetData>
    <row r="1" customFormat="false" ht="17.35" hidden="false" customHeight="false" outlineLevel="0" collapsed="false">
      <c r="A1" s="19" t="s">
        <v>205</v>
      </c>
    </row>
    <row r="2" customFormat="false" ht="15" hidden="false" customHeight="false" outlineLevel="0" collapsed="false">
      <c r="A2" s="2" t="s">
        <v>206</v>
      </c>
    </row>
    <row r="3" customFormat="false" ht="15" hidden="false" customHeight="false" outlineLevel="0" collapsed="false">
      <c r="A3" s="21" t="s">
        <v>187</v>
      </c>
      <c r="B3" s="64" t="n">
        <v>1</v>
      </c>
      <c r="C3" s="64" t="n">
        <v>2</v>
      </c>
      <c r="D3" s="64" t="n">
        <v>3</v>
      </c>
      <c r="E3" s="64" t="n">
        <v>4</v>
      </c>
      <c r="F3" s="64" t="n">
        <v>5</v>
      </c>
      <c r="G3" s="64" t="n">
        <v>6</v>
      </c>
      <c r="H3" s="64" t="n">
        <v>7</v>
      </c>
      <c r="I3" s="64" t="n">
        <v>8</v>
      </c>
      <c r="J3" s="64" t="n">
        <v>9</v>
      </c>
      <c r="K3" s="64" t="n">
        <v>10</v>
      </c>
      <c r="L3" s="64" t="n">
        <v>11</v>
      </c>
      <c r="M3" s="64" t="n">
        <v>12</v>
      </c>
    </row>
    <row r="4" customFormat="false" ht="15" hidden="false" customHeight="false" outlineLevel="0" collapsed="false">
      <c r="A4" s="25" t="s">
        <v>58</v>
      </c>
      <c r="B4" s="23" t="s">
        <v>188</v>
      </c>
      <c r="C4" s="23" t="s">
        <v>189</v>
      </c>
      <c r="D4" s="23" t="s">
        <v>190</v>
      </c>
      <c r="E4" s="23" t="s">
        <v>191</v>
      </c>
      <c r="F4" s="23" t="s">
        <v>192</v>
      </c>
      <c r="G4" s="23" t="s">
        <v>193</v>
      </c>
      <c r="H4" s="23" t="s">
        <v>194</v>
      </c>
      <c r="I4" s="23" t="s">
        <v>195</v>
      </c>
      <c r="J4" s="23" t="s">
        <v>196</v>
      </c>
      <c r="K4" s="23" t="s">
        <v>197</v>
      </c>
      <c r="L4" s="23" t="s">
        <v>198</v>
      </c>
      <c r="M4" s="23" t="s">
        <v>199</v>
      </c>
      <c r="N4" s="23" t="s">
        <v>207</v>
      </c>
    </row>
    <row r="5" customFormat="false" ht="15" hidden="false" customHeight="false" outlineLevel="0" collapsed="false">
      <c r="A5" s="26" t="s">
        <v>65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customFormat="false" ht="15" hidden="false" customHeight="false" outlineLevel="0" collapsed="false">
      <c r="A6" s="28" t="s">
        <v>66</v>
      </c>
      <c r="B6" s="66" t="n">
        <v>11817</v>
      </c>
      <c r="C6" s="66" t="n">
        <v>11583</v>
      </c>
      <c r="D6" s="66" t="n">
        <v>14040</v>
      </c>
      <c r="E6" s="66" t="n">
        <v>14580</v>
      </c>
      <c r="F6" s="66" t="n">
        <v>15696</v>
      </c>
      <c r="G6" s="66" t="n">
        <v>14445</v>
      </c>
      <c r="H6" s="66" t="n">
        <v>13608</v>
      </c>
      <c r="I6" s="66" t="n">
        <v>14850</v>
      </c>
      <c r="J6" s="66" t="n">
        <v>16677</v>
      </c>
      <c r="N6" s="30" t="n">
        <f aca="false">SUM(B6:M6)</f>
        <v>127296</v>
      </c>
    </row>
    <row r="7" customFormat="false" ht="15" hidden="false" customHeight="false" outlineLevel="0" collapsed="false">
      <c r="A7" s="28" t="s">
        <v>67</v>
      </c>
      <c r="B7" s="66" t="n">
        <v>7800</v>
      </c>
      <c r="C7" s="66" t="n">
        <v>7644</v>
      </c>
      <c r="D7" s="66" t="n">
        <v>8910</v>
      </c>
      <c r="E7" s="66" t="n">
        <v>8730</v>
      </c>
      <c r="F7" s="66" t="n">
        <v>8256</v>
      </c>
      <c r="G7" s="66" t="n">
        <v>7200</v>
      </c>
      <c r="H7" s="66" t="n">
        <v>7560</v>
      </c>
      <c r="I7" s="66" t="n">
        <v>8550</v>
      </c>
      <c r="J7" s="66" t="n">
        <v>9894</v>
      </c>
      <c r="N7" s="30" t="n">
        <f aca="false">SUM(B7:M7)</f>
        <v>74544</v>
      </c>
    </row>
    <row r="8" customFormat="false" ht="15" hidden="false" customHeight="false" outlineLevel="0" collapsed="false">
      <c r="A8" s="28" t="s">
        <v>68</v>
      </c>
      <c r="B8" s="66" t="n">
        <v>3861</v>
      </c>
      <c r="C8" s="66" t="n">
        <v>3978</v>
      </c>
      <c r="D8" s="66" t="n">
        <v>4635</v>
      </c>
      <c r="E8" s="66" t="n">
        <v>4545</v>
      </c>
      <c r="F8" s="66" t="n">
        <v>4944</v>
      </c>
      <c r="G8" s="66" t="n">
        <v>4680</v>
      </c>
      <c r="H8" s="66" t="n">
        <v>4326</v>
      </c>
      <c r="I8" s="66" t="n">
        <v>4725</v>
      </c>
      <c r="J8" s="66" t="n">
        <v>5304</v>
      </c>
      <c r="N8" s="30" t="n">
        <f aca="false">SUM(B8:M8)</f>
        <v>40998</v>
      </c>
    </row>
    <row r="9" customFormat="false" ht="15" hidden="false" customHeight="false" outlineLevel="0" collapsed="false">
      <c r="A9" s="3" t="s">
        <v>69</v>
      </c>
      <c r="B9" s="35" t="n">
        <f aca="false">SUM(B6:B8)</f>
        <v>23478</v>
      </c>
      <c r="C9" s="35" t="n">
        <f aca="false">SUM(C6:C8)</f>
        <v>23205</v>
      </c>
      <c r="D9" s="35" t="n">
        <f aca="false">SUM(D6:D8)</f>
        <v>27585</v>
      </c>
      <c r="E9" s="35" t="n">
        <f aca="false">SUM(E6:E8)</f>
        <v>27855</v>
      </c>
      <c r="F9" s="35" t="n">
        <f aca="false">SUM(F6:F8)</f>
        <v>28896</v>
      </c>
      <c r="G9" s="35" t="n">
        <f aca="false">SUM(G6:G8)</f>
        <v>26325</v>
      </c>
      <c r="H9" s="35" t="n">
        <f aca="false">SUM(H6:H8)</f>
        <v>25494</v>
      </c>
      <c r="I9" s="35" t="n">
        <f aca="false">SUM(I6:I8)</f>
        <v>28125</v>
      </c>
      <c r="J9" s="35" t="n">
        <f aca="false">SUM(J6:J8)</f>
        <v>31875</v>
      </c>
      <c r="K9" s="35" t="n">
        <f aca="false">SUM(K6:K8)</f>
        <v>0</v>
      </c>
      <c r="L9" s="35" t="n">
        <f aca="false">SUM(L6:L8)</f>
        <v>0</v>
      </c>
      <c r="M9" s="35" t="n">
        <f aca="false">SUM(M6:M8)</f>
        <v>0</v>
      </c>
      <c r="N9" s="35" t="n">
        <f aca="false">SUM(N6:N8)</f>
        <v>242838</v>
      </c>
    </row>
    <row r="11" customFormat="false" ht="15" hidden="false" customHeight="false" outlineLevel="0" collapsed="false">
      <c r="A11" s="26" t="s">
        <v>70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</row>
    <row r="12" customFormat="false" ht="15" hidden="false" customHeight="false" outlineLevel="0" collapsed="false">
      <c r="A12" s="28" t="s">
        <v>66</v>
      </c>
      <c r="B12" s="67" t="n">
        <v>567216</v>
      </c>
      <c r="C12" s="67" t="n">
        <v>555984</v>
      </c>
      <c r="D12" s="67" t="n">
        <v>653702</v>
      </c>
      <c r="E12" s="67" t="n">
        <v>678845</v>
      </c>
      <c r="F12" s="67" t="n">
        <v>738340</v>
      </c>
      <c r="G12" s="67" t="n">
        <v>679493</v>
      </c>
      <c r="H12" s="67" t="n">
        <v>640120</v>
      </c>
      <c r="I12" s="67" t="n">
        <v>691416</v>
      </c>
      <c r="J12" s="67" t="n">
        <v>784486</v>
      </c>
      <c r="N12" s="40" t="n">
        <f aca="false">SUM(B12:M12)</f>
        <v>5989602</v>
      </c>
    </row>
    <row r="13" customFormat="false" ht="15" hidden="false" customHeight="false" outlineLevel="0" collapsed="false">
      <c r="A13" s="28" t="s">
        <v>67</v>
      </c>
      <c r="B13" s="67" t="n">
        <v>507000</v>
      </c>
      <c r="C13" s="67" t="n">
        <v>496860</v>
      </c>
      <c r="D13" s="67" t="n">
        <v>579150</v>
      </c>
      <c r="E13" s="67" t="n">
        <v>573124</v>
      </c>
      <c r="F13" s="67" t="n">
        <v>536640</v>
      </c>
      <c r="G13" s="67" t="n">
        <v>472680</v>
      </c>
      <c r="H13" s="67" t="n">
        <v>491400</v>
      </c>
      <c r="I13" s="67" t="n">
        <v>555750</v>
      </c>
      <c r="J13" s="67" t="n">
        <v>639894</v>
      </c>
      <c r="N13" s="40" t="n">
        <f aca="false">SUM(B13:M13)</f>
        <v>4852498</v>
      </c>
    </row>
    <row r="14" customFormat="false" ht="15" hidden="false" customHeight="false" outlineLevel="0" collapsed="false">
      <c r="A14" s="28" t="s">
        <v>68</v>
      </c>
      <c r="B14" s="67" t="n">
        <v>424710</v>
      </c>
      <c r="C14" s="67" t="n">
        <v>437580</v>
      </c>
      <c r="D14" s="67" t="n">
        <v>509850</v>
      </c>
      <c r="E14" s="67" t="n">
        <v>519948</v>
      </c>
      <c r="F14" s="67" t="n">
        <v>565594</v>
      </c>
      <c r="G14" s="67" t="n">
        <v>537966</v>
      </c>
      <c r="H14" s="67" t="n">
        <v>494894</v>
      </c>
      <c r="I14" s="67" t="n">
        <v>540540</v>
      </c>
      <c r="J14" s="67" t="n">
        <v>606778</v>
      </c>
      <c r="N14" s="40" t="n">
        <f aca="false">SUM(B14:M14)</f>
        <v>4637860</v>
      </c>
    </row>
    <row r="15" customFormat="false" ht="15" hidden="false" customHeight="false" outlineLevel="0" collapsed="false">
      <c r="A15" s="3" t="s">
        <v>71</v>
      </c>
      <c r="B15" s="42" t="n">
        <f aca="false">SUM(B12:B14)</f>
        <v>1498926</v>
      </c>
      <c r="C15" s="42" t="n">
        <f aca="false">SUM(C12:C14)</f>
        <v>1490424</v>
      </c>
      <c r="D15" s="42" t="n">
        <f aca="false">SUM(D12:D14)</f>
        <v>1742702</v>
      </c>
      <c r="E15" s="42" t="n">
        <f aca="false">SUM(E12:E14)</f>
        <v>1771917</v>
      </c>
      <c r="F15" s="42" t="n">
        <f aca="false">SUM(F12:F14)</f>
        <v>1840574</v>
      </c>
      <c r="G15" s="42" t="n">
        <f aca="false">SUM(G12:G14)</f>
        <v>1690139</v>
      </c>
      <c r="H15" s="42" t="n">
        <f aca="false">SUM(H12:H14)</f>
        <v>1626414</v>
      </c>
      <c r="I15" s="42" t="n">
        <f aca="false">SUM(I12:I14)</f>
        <v>1787706</v>
      </c>
      <c r="J15" s="42" t="n">
        <f aca="false">SUM(J12:J14)</f>
        <v>2031158</v>
      </c>
      <c r="K15" s="42" t="n">
        <f aca="false">SUM(K12:K14)</f>
        <v>0</v>
      </c>
      <c r="L15" s="42" t="n">
        <f aca="false">SUM(L12:L14)</f>
        <v>0</v>
      </c>
      <c r="M15" s="42" t="n">
        <f aca="false">SUM(M12:M14)</f>
        <v>0</v>
      </c>
      <c r="N15" s="42" t="n">
        <f aca="false">SUM(N12:N14)</f>
        <v>15479960</v>
      </c>
    </row>
    <row r="17" customFormat="false" ht="15" hidden="false" customHeight="false" outlineLevel="0" collapsed="false">
      <c r="A17" s="26" t="s">
        <v>72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</row>
    <row r="18" customFormat="false" ht="15" hidden="false" customHeight="false" outlineLevel="0" collapsed="false">
      <c r="A18" s="28" t="s">
        <v>73</v>
      </c>
      <c r="B18" s="67" t="n">
        <v>545964</v>
      </c>
      <c r="C18" s="67" t="n">
        <v>543127</v>
      </c>
      <c r="D18" s="67" t="n">
        <v>642069</v>
      </c>
      <c r="E18" s="67" t="n">
        <v>653586</v>
      </c>
      <c r="F18" s="67" t="n">
        <v>680909</v>
      </c>
      <c r="G18" s="67" t="n">
        <v>621804</v>
      </c>
      <c r="H18" s="67" t="n">
        <v>602303</v>
      </c>
      <c r="I18" s="67" t="n">
        <v>665152</v>
      </c>
      <c r="J18" s="67" t="n">
        <v>754390</v>
      </c>
      <c r="N18" s="40" t="n">
        <f aca="false">SUM(B18:M18)</f>
        <v>5709304</v>
      </c>
    </row>
    <row r="19" customFormat="false" ht="15" hidden="false" customHeight="false" outlineLevel="0" collapsed="false">
      <c r="A19" s="28" t="s">
        <v>74</v>
      </c>
      <c r="B19" s="67" t="n">
        <v>171678</v>
      </c>
      <c r="C19" s="67" t="n">
        <v>170781</v>
      </c>
      <c r="D19" s="67" t="n">
        <v>201735</v>
      </c>
      <c r="E19" s="67" t="n">
        <v>201825</v>
      </c>
      <c r="F19" s="67" t="n">
        <v>210888</v>
      </c>
      <c r="G19" s="67" t="n">
        <v>196385</v>
      </c>
      <c r="H19" s="67" t="n">
        <v>195843</v>
      </c>
      <c r="I19" s="67" t="n">
        <v>218360</v>
      </c>
      <c r="J19" s="67" t="n">
        <v>236119</v>
      </c>
      <c r="N19" s="40" t="n">
        <f aca="false">SUM(B19:M19)</f>
        <v>1803614</v>
      </c>
    </row>
    <row r="20" customFormat="false" ht="15" hidden="false" customHeight="false" outlineLevel="0" collapsed="false">
      <c r="A20" s="28" t="s">
        <v>75</v>
      </c>
      <c r="B20" s="67" t="n">
        <v>67452</v>
      </c>
      <c r="C20" s="67" t="n">
        <v>68560</v>
      </c>
      <c r="D20" s="67" t="n">
        <v>81907</v>
      </c>
      <c r="E20" s="67" t="n">
        <v>85052</v>
      </c>
      <c r="F20" s="67" t="n">
        <v>95710</v>
      </c>
      <c r="G20" s="67" t="n">
        <v>103098</v>
      </c>
      <c r="H20" s="67" t="n">
        <v>95958</v>
      </c>
      <c r="I20" s="67" t="n">
        <v>94748</v>
      </c>
      <c r="J20" s="67" t="n">
        <v>103589</v>
      </c>
      <c r="N20" s="40" t="n">
        <f aca="false">SUM(B20:M20)</f>
        <v>796074</v>
      </c>
    </row>
    <row r="21" customFormat="false" ht="15" hidden="false" customHeight="false" outlineLevel="0" collapsed="false">
      <c r="A21" s="3" t="s">
        <v>76</v>
      </c>
      <c r="B21" s="42" t="n">
        <f aca="false">SUM(B18:B20)</f>
        <v>785094</v>
      </c>
      <c r="C21" s="42" t="n">
        <f aca="false">SUM(C18:C20)</f>
        <v>782468</v>
      </c>
      <c r="D21" s="42" t="n">
        <f aca="false">SUM(D18:D20)</f>
        <v>925711</v>
      </c>
      <c r="E21" s="42" t="n">
        <f aca="false">SUM(E18:E20)</f>
        <v>940463</v>
      </c>
      <c r="F21" s="42" t="n">
        <f aca="false">SUM(F18:F20)</f>
        <v>987507</v>
      </c>
      <c r="G21" s="42" t="n">
        <f aca="false">SUM(G18:G20)</f>
        <v>921287</v>
      </c>
      <c r="H21" s="42" t="n">
        <f aca="false">SUM(H18:H20)</f>
        <v>894104</v>
      </c>
      <c r="I21" s="42" t="n">
        <f aca="false">SUM(I18:I20)</f>
        <v>978260</v>
      </c>
      <c r="J21" s="42" t="n">
        <f aca="false">SUM(J18:J20)</f>
        <v>1094098</v>
      </c>
      <c r="K21" s="42" t="n">
        <f aca="false">SUM(K18:K20)</f>
        <v>0</v>
      </c>
      <c r="L21" s="42" t="n">
        <f aca="false">SUM(L18:L20)</f>
        <v>0</v>
      </c>
      <c r="M21" s="42" t="n">
        <f aca="false">SUM(M18:M20)</f>
        <v>0</v>
      </c>
      <c r="N21" s="42" t="n">
        <f aca="false">SUM(N18:N20)</f>
        <v>8308992</v>
      </c>
    </row>
    <row r="22" customFormat="false" ht="15" hidden="false" customHeight="false" outlineLevel="0" collapsed="false">
      <c r="A22" s="43" t="s">
        <v>77</v>
      </c>
      <c r="B22" s="45" t="n">
        <f aca="false">B15-B21</f>
        <v>713832</v>
      </c>
      <c r="C22" s="45" t="n">
        <f aca="false">C15-C21</f>
        <v>707956</v>
      </c>
      <c r="D22" s="45" t="n">
        <f aca="false">D15-D21</f>
        <v>816991</v>
      </c>
      <c r="E22" s="45" t="n">
        <f aca="false">E15-E21</f>
        <v>831454</v>
      </c>
      <c r="F22" s="45" t="n">
        <f aca="false">F15-F21</f>
        <v>853067</v>
      </c>
      <c r="G22" s="45" t="n">
        <f aca="false">G15-G21</f>
        <v>768852</v>
      </c>
      <c r="H22" s="45" t="n">
        <f aca="false">H15-H21</f>
        <v>732310</v>
      </c>
      <c r="I22" s="45" t="n">
        <f aca="false">I15-I21</f>
        <v>809446</v>
      </c>
      <c r="J22" s="45" t="n">
        <f aca="false">J15-J21</f>
        <v>937060</v>
      </c>
      <c r="K22" s="45" t="n">
        <f aca="false">K15-K21</f>
        <v>0</v>
      </c>
      <c r="L22" s="45" t="n">
        <f aca="false">L15-L21</f>
        <v>0</v>
      </c>
      <c r="M22" s="45" t="n">
        <f aca="false">M15-M21</f>
        <v>0</v>
      </c>
      <c r="N22" s="45" t="n">
        <f aca="false">N15-N21</f>
        <v>7170968</v>
      </c>
    </row>
    <row r="23" customFormat="false" ht="15" hidden="false" customHeight="false" outlineLevel="0" collapsed="false">
      <c r="A23" s="3" t="s">
        <v>78</v>
      </c>
      <c r="B23" s="49" t="n">
        <f aca="false">IF(B15=0,0,B22/B15)</f>
        <v>0.476228979949644</v>
      </c>
      <c r="C23" s="49" t="n">
        <f aca="false">IF(C15=0,0,C22/C15)</f>
        <v>0.475003086370053</v>
      </c>
      <c r="D23" s="49" t="n">
        <f aca="false">IF(D15=0,0,D22/D15)</f>
        <v>0.468807059382499</v>
      </c>
      <c r="E23" s="49" t="n">
        <f aca="false">IF(E15=0,0,E22/E15)</f>
        <v>0.469239812022798</v>
      </c>
      <c r="F23" s="49" t="n">
        <f aca="false">IF(F15=0,0,F22/F15)</f>
        <v>0.463478784335756</v>
      </c>
      <c r="G23" s="49" t="n">
        <f aca="false">IF(G15=0,0,G22/G15)</f>
        <v>0.454904596604185</v>
      </c>
      <c r="H23" s="49" t="n">
        <f aca="false">IF(H15=0,0,H22/H15)</f>
        <v>0.450260511776214</v>
      </c>
      <c r="I23" s="49" t="n">
        <f aca="false">IF(I15=0,0,I22/I15)</f>
        <v>0.452784742010152</v>
      </c>
      <c r="J23" s="49" t="n">
        <f aca="false">IF(J15=0,0,J22/J15)</f>
        <v>0.461342741431243</v>
      </c>
      <c r="K23" s="49" t="n">
        <f aca="false">IF(K15=0,0,K22/K15)</f>
        <v>0</v>
      </c>
      <c r="L23" s="49" t="n">
        <f aca="false">IF(L15=0,0,L22/L15)</f>
        <v>0</v>
      </c>
      <c r="M23" s="49" t="n">
        <f aca="false">IF(M15=0,0,M22/M15)</f>
        <v>0</v>
      </c>
      <c r="N23" s="49" t="n">
        <f aca="false">IF(N15=0,0,N22/N15)</f>
        <v>0.463242023881199</v>
      </c>
    </row>
    <row r="25" customFormat="false" ht="15" hidden="false" customHeight="false" outlineLevel="0" collapsed="false">
      <c r="A25" s="26" t="s">
        <v>79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</row>
    <row r="26" customFormat="false" ht="15" hidden="false" customHeight="false" outlineLevel="0" collapsed="false">
      <c r="A26" s="28" t="s">
        <v>80</v>
      </c>
      <c r="B26" s="67" t="n">
        <v>284100</v>
      </c>
      <c r="C26" s="67" t="n">
        <v>272300</v>
      </c>
      <c r="D26" s="67" t="n">
        <v>270450</v>
      </c>
      <c r="E26" s="67" t="n">
        <v>279200</v>
      </c>
      <c r="F26" s="67" t="n">
        <v>280150</v>
      </c>
      <c r="G26" s="67" t="n">
        <v>283400</v>
      </c>
      <c r="H26" s="67" t="n">
        <v>293100</v>
      </c>
      <c r="I26" s="67" t="n">
        <v>294480</v>
      </c>
      <c r="J26" s="67" t="n">
        <v>295020</v>
      </c>
      <c r="N26" s="40" t="n">
        <f aca="false">SUM(B26:M26)</f>
        <v>2552200</v>
      </c>
    </row>
    <row r="27" customFormat="false" ht="15" hidden="false" customHeight="false" outlineLevel="0" collapsed="false">
      <c r="A27" s="28" t="s">
        <v>81</v>
      </c>
      <c r="B27" s="67" t="n">
        <v>134800</v>
      </c>
      <c r="C27" s="67" t="n">
        <v>132100</v>
      </c>
      <c r="D27" s="67" t="n">
        <v>199100</v>
      </c>
      <c r="E27" s="67" t="n">
        <v>164900</v>
      </c>
      <c r="F27" s="67" t="n">
        <v>170900</v>
      </c>
      <c r="G27" s="67" t="n">
        <v>158600</v>
      </c>
      <c r="H27" s="67" t="n">
        <v>151000</v>
      </c>
      <c r="I27" s="67" t="n">
        <v>183500</v>
      </c>
      <c r="J27" s="67" t="n">
        <v>186800</v>
      </c>
      <c r="N27" s="40" t="n">
        <f aca="false">SUM(B27:M27)</f>
        <v>1481700</v>
      </c>
    </row>
    <row r="28" customFormat="false" ht="15" hidden="false" customHeight="false" outlineLevel="0" collapsed="false">
      <c r="A28" s="28" t="s">
        <v>82</v>
      </c>
      <c r="B28" s="67" t="n">
        <v>62000</v>
      </c>
      <c r="C28" s="67" t="n">
        <v>62000</v>
      </c>
      <c r="D28" s="67" t="n">
        <v>62000</v>
      </c>
      <c r="E28" s="67" t="n">
        <v>62000</v>
      </c>
      <c r="F28" s="67" t="n">
        <v>62000</v>
      </c>
      <c r="G28" s="67" t="n">
        <v>62000</v>
      </c>
      <c r="H28" s="67" t="n">
        <v>64100</v>
      </c>
      <c r="I28" s="67" t="n">
        <v>64100</v>
      </c>
      <c r="J28" s="67" t="n">
        <v>64100</v>
      </c>
      <c r="N28" s="40" t="n">
        <f aca="false">SUM(B28:M28)</f>
        <v>564300</v>
      </c>
    </row>
    <row r="29" customFormat="false" ht="15" hidden="false" customHeight="false" outlineLevel="0" collapsed="false">
      <c r="A29" s="28" t="s">
        <v>83</v>
      </c>
      <c r="B29" s="67" t="n">
        <v>37600</v>
      </c>
      <c r="C29" s="67" t="n">
        <v>38200</v>
      </c>
      <c r="D29" s="67" t="n">
        <v>38400</v>
      </c>
      <c r="E29" s="67" t="n">
        <v>38900</v>
      </c>
      <c r="F29" s="67" t="n">
        <v>44500</v>
      </c>
      <c r="G29" s="67" t="n">
        <v>44500</v>
      </c>
      <c r="H29" s="67" t="n">
        <v>44650</v>
      </c>
      <c r="I29" s="67" t="n">
        <v>44500</v>
      </c>
      <c r="J29" s="67" t="n">
        <v>44720</v>
      </c>
      <c r="N29" s="40" t="n">
        <f aca="false">SUM(B29:M29)</f>
        <v>375970</v>
      </c>
    </row>
    <row r="30" customFormat="false" ht="15" hidden="false" customHeight="false" outlineLevel="0" collapsed="false">
      <c r="A30" s="28" t="s">
        <v>84</v>
      </c>
      <c r="B30" s="67" t="n">
        <v>21500</v>
      </c>
      <c r="C30" s="67" t="n">
        <v>23100</v>
      </c>
      <c r="D30" s="67" t="n">
        <v>22400</v>
      </c>
      <c r="E30" s="67" t="n">
        <v>61000</v>
      </c>
      <c r="F30" s="67" t="n">
        <v>24000</v>
      </c>
      <c r="G30" s="67" t="n">
        <v>48500</v>
      </c>
      <c r="H30" s="67" t="n">
        <v>31000</v>
      </c>
      <c r="I30" s="67" t="n">
        <v>22800</v>
      </c>
      <c r="J30" s="67" t="n">
        <v>23500</v>
      </c>
      <c r="N30" s="40" t="n">
        <f aca="false">SUM(B30:M30)</f>
        <v>277800</v>
      </c>
    </row>
    <row r="31" customFormat="false" ht="15" hidden="false" customHeight="false" outlineLevel="0" collapsed="false">
      <c r="A31" s="28" t="s">
        <v>85</v>
      </c>
      <c r="B31" s="67" t="n">
        <v>11200</v>
      </c>
      <c r="C31" s="67" t="n">
        <v>12500</v>
      </c>
      <c r="D31" s="67" t="n">
        <v>16800</v>
      </c>
      <c r="E31" s="67" t="n">
        <v>11000</v>
      </c>
      <c r="F31" s="67" t="n">
        <v>12100</v>
      </c>
      <c r="G31" s="67" t="n">
        <v>10400</v>
      </c>
      <c r="H31" s="67" t="n">
        <v>9800</v>
      </c>
      <c r="I31" s="67" t="n">
        <v>13000</v>
      </c>
      <c r="J31" s="67" t="n">
        <v>12600</v>
      </c>
      <c r="N31" s="40" t="n">
        <f aca="false">SUM(B31:M31)</f>
        <v>109400</v>
      </c>
    </row>
    <row r="32" customFormat="false" ht="15" hidden="false" customHeight="false" outlineLevel="0" collapsed="false">
      <c r="A32" s="28" t="s">
        <v>86</v>
      </c>
      <c r="B32" s="67" t="n">
        <v>12000</v>
      </c>
      <c r="C32" s="67" t="n">
        <v>12000</v>
      </c>
      <c r="D32" s="67" t="n">
        <v>12000</v>
      </c>
      <c r="E32" s="67" t="n">
        <v>12000</v>
      </c>
      <c r="F32" s="67" t="n">
        <v>12000</v>
      </c>
      <c r="G32" s="67" t="n">
        <v>12000</v>
      </c>
      <c r="H32" s="67" t="n">
        <v>12960</v>
      </c>
      <c r="I32" s="67" t="n">
        <v>12960</v>
      </c>
      <c r="J32" s="67" t="n">
        <v>12960</v>
      </c>
      <c r="N32" s="40" t="n">
        <f aca="false">SUM(B32:M32)</f>
        <v>110880</v>
      </c>
    </row>
    <row r="33" customFormat="false" ht="15" hidden="false" customHeight="false" outlineLevel="0" collapsed="false">
      <c r="A33" s="28" t="s">
        <v>87</v>
      </c>
      <c r="B33" s="67" t="n">
        <v>17400</v>
      </c>
      <c r="C33" s="67" t="n">
        <v>18900</v>
      </c>
      <c r="D33" s="67" t="n">
        <v>19600</v>
      </c>
      <c r="E33" s="67" t="n">
        <v>16800</v>
      </c>
      <c r="F33" s="67" t="n">
        <v>18200</v>
      </c>
      <c r="G33" s="67" t="n">
        <v>20100</v>
      </c>
      <c r="H33" s="67" t="n">
        <v>17700</v>
      </c>
      <c r="I33" s="67" t="n">
        <v>18400</v>
      </c>
      <c r="J33" s="67" t="n">
        <v>19000</v>
      </c>
      <c r="N33" s="40" t="n">
        <f aca="false">SUM(B33:M33)</f>
        <v>166100</v>
      </c>
    </row>
    <row r="34" customFormat="false" ht="15" hidden="false" customHeight="false" outlineLevel="0" collapsed="false">
      <c r="A34" s="3" t="s">
        <v>88</v>
      </c>
      <c r="B34" s="42" t="n">
        <f aca="false">SUM(B26:B33)</f>
        <v>580600</v>
      </c>
      <c r="C34" s="42" t="n">
        <f aca="false">SUM(C26:C33)</f>
        <v>571100</v>
      </c>
      <c r="D34" s="42" t="n">
        <f aca="false">SUM(D26:D33)</f>
        <v>640750</v>
      </c>
      <c r="E34" s="42" t="n">
        <f aca="false">SUM(E26:E33)</f>
        <v>645800</v>
      </c>
      <c r="F34" s="42" t="n">
        <f aca="false">SUM(F26:F33)</f>
        <v>623850</v>
      </c>
      <c r="G34" s="42" t="n">
        <f aca="false">SUM(G26:G33)</f>
        <v>639500</v>
      </c>
      <c r="H34" s="42" t="n">
        <f aca="false">SUM(H26:H33)</f>
        <v>624310</v>
      </c>
      <c r="I34" s="42" t="n">
        <f aca="false">SUM(I26:I33)</f>
        <v>653740</v>
      </c>
      <c r="J34" s="42" t="n">
        <f aca="false">SUM(J26:J33)</f>
        <v>658700</v>
      </c>
      <c r="K34" s="42" t="n">
        <f aca="false">SUM(K26:K33)</f>
        <v>0</v>
      </c>
      <c r="L34" s="42" t="n">
        <f aca="false">SUM(L26:L33)</f>
        <v>0</v>
      </c>
      <c r="M34" s="42" t="n">
        <f aca="false">SUM(M26:M33)</f>
        <v>0</v>
      </c>
      <c r="N34" s="42" t="n">
        <f aca="false">SUM(N26:N33)</f>
        <v>5638350</v>
      </c>
    </row>
    <row r="35" customFormat="false" ht="15" hidden="false" customHeight="false" outlineLevel="0" collapsed="false">
      <c r="A35" s="43" t="s">
        <v>89</v>
      </c>
      <c r="B35" s="45" t="n">
        <f aca="false">B22-B34</f>
        <v>133232</v>
      </c>
      <c r="C35" s="45" t="n">
        <f aca="false">C22-C34</f>
        <v>136856</v>
      </c>
      <c r="D35" s="45" t="n">
        <f aca="false">D22-D34</f>
        <v>176241</v>
      </c>
      <c r="E35" s="45" t="n">
        <f aca="false">E22-E34</f>
        <v>185654</v>
      </c>
      <c r="F35" s="45" t="n">
        <f aca="false">F22-F34</f>
        <v>229217</v>
      </c>
      <c r="G35" s="45" t="n">
        <f aca="false">G22-G34</f>
        <v>129352</v>
      </c>
      <c r="H35" s="45" t="n">
        <f aca="false">H22-H34</f>
        <v>108000</v>
      </c>
      <c r="I35" s="45" t="n">
        <f aca="false">I22-I34</f>
        <v>155706</v>
      </c>
      <c r="J35" s="45" t="n">
        <f aca="false">J22-J34</f>
        <v>278360</v>
      </c>
      <c r="K35" s="45" t="n">
        <f aca="false">K22-K34</f>
        <v>0</v>
      </c>
      <c r="L35" s="45" t="n">
        <f aca="false">L22-L34</f>
        <v>0</v>
      </c>
      <c r="M35" s="45" t="n">
        <f aca="false">M22-M34</f>
        <v>0</v>
      </c>
      <c r="N35" s="45" t="n">
        <f aca="false">N22-N34</f>
        <v>1532618</v>
      </c>
    </row>
    <row r="36" customFormat="false" ht="15" hidden="false" customHeight="false" outlineLevel="0" collapsed="false">
      <c r="A36" s="3" t="s">
        <v>90</v>
      </c>
      <c r="B36" s="49" t="n">
        <f aca="false">IF(B15=0,0,B35/B15)</f>
        <v>0.0888849749754157</v>
      </c>
      <c r="C36" s="49" t="n">
        <f aca="false">IF(C15=0,0,C35/C15)</f>
        <v>0.0918235347793648</v>
      </c>
      <c r="D36" s="49" t="n">
        <f aca="false">IF(D15=0,0,D35/D15)</f>
        <v>0.101130887552777</v>
      </c>
      <c r="E36" s="49" t="n">
        <f aca="false">IF(E15=0,0,E35/E15)</f>
        <v>0.104775788030703</v>
      </c>
      <c r="F36" s="49" t="n">
        <f aca="false">IF(F15=0,0,F35/F15)</f>
        <v>0.124535606827001</v>
      </c>
      <c r="G36" s="49" t="n">
        <f aca="false">IF(G15=0,0,G35/G15)</f>
        <v>0.076533350215574</v>
      </c>
      <c r="H36" s="49" t="n">
        <f aca="false">IF(H15=0,0,H35/H15)</f>
        <v>0.0664037569770059</v>
      </c>
      <c r="I36" s="49" t="n">
        <f aca="false">IF(I15=0,0,I35/I15)</f>
        <v>0.0870982141358814</v>
      </c>
      <c r="J36" s="49" t="n">
        <f aca="false">IF(J15=0,0,J35/J15)</f>
        <v>0.137044976314004</v>
      </c>
      <c r="K36" s="49" t="n">
        <f aca="false">IF(K15=0,0,K35/K15)</f>
        <v>0</v>
      </c>
      <c r="L36" s="49" t="n">
        <f aca="false">IF(L15=0,0,L35/L15)</f>
        <v>0</v>
      </c>
      <c r="M36" s="49" t="n">
        <f aca="false">IF(M15=0,0,M35/M15)</f>
        <v>0</v>
      </c>
      <c r="N36" s="49" t="n">
        <f aca="false">IF(N15=0,0,N35/N15)</f>
        <v>0.0990065865803271</v>
      </c>
    </row>
    <row r="38" customFormat="false" ht="15" hidden="false" customHeight="false" outlineLevel="0" collapsed="false">
      <c r="A38" s="2" t="s">
        <v>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N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4" min="2" style="0" width="13"/>
  </cols>
  <sheetData>
    <row r="1" customFormat="false" ht="17.35" hidden="false" customHeight="false" outlineLevel="0" collapsed="false">
      <c r="A1" s="19" t="s">
        <v>209</v>
      </c>
    </row>
    <row r="2" customFormat="false" ht="15" hidden="false" customHeight="false" outlineLevel="0" collapsed="false">
      <c r="A2" s="2" t="s">
        <v>210</v>
      </c>
    </row>
    <row r="4" customFormat="false" ht="15" hidden="false" customHeight="false" outlineLevel="0" collapsed="false">
      <c r="A4" s="3" t="s">
        <v>211</v>
      </c>
      <c r="B4" s="68" t="s">
        <v>212</v>
      </c>
    </row>
    <row r="5" customFormat="false" ht="15" hidden="false" customHeight="false" outlineLevel="0" collapsed="false">
      <c r="A5" s="3" t="s">
        <v>213</v>
      </c>
      <c r="B5" s="68" t="s">
        <v>200</v>
      </c>
    </row>
    <row r="6" customFormat="false" ht="15" hidden="false" customHeight="false" outlineLevel="0" collapsed="false">
      <c r="A6" s="3" t="s">
        <v>214</v>
      </c>
      <c r="B6" s="4" t="n">
        <v>9</v>
      </c>
      <c r="C6" s="2" t="s">
        <v>215</v>
      </c>
    </row>
    <row r="7" customFormat="false" ht="15" hidden="false" customHeight="false" outlineLevel="0" collapsed="false">
      <c r="A7" s="3" t="s">
        <v>216</v>
      </c>
      <c r="B7" s="69" t="n">
        <v>0.05</v>
      </c>
    </row>
    <row r="8" customFormat="false" ht="15" hidden="false" customHeight="false" outlineLevel="0" collapsed="false">
      <c r="A8" s="3" t="s">
        <v>217</v>
      </c>
      <c r="B8" s="67" t="n">
        <v>25000</v>
      </c>
      <c r="C8" s="2" t="s">
        <v>218</v>
      </c>
    </row>
    <row r="10" customFormat="false" ht="30" hidden="false" customHeight="true" outlineLevel="0" collapsed="false">
      <c r="A10" s="23" t="s">
        <v>219</v>
      </c>
      <c r="B10" s="23" t="s">
        <v>220</v>
      </c>
      <c r="C10" s="23" t="s">
        <v>221</v>
      </c>
      <c r="D10" s="23" t="s">
        <v>222</v>
      </c>
      <c r="E10" s="23" t="s">
        <v>223</v>
      </c>
    </row>
    <row r="11" customFormat="false" ht="15" hidden="false" customHeight="false" outlineLevel="0" collapsed="false">
      <c r="A11" s="5" t="s">
        <v>66</v>
      </c>
      <c r="B11" s="66" t="n">
        <v>180000</v>
      </c>
      <c r="C11" s="70" t="n">
        <v>48</v>
      </c>
      <c r="D11" s="70" t="n">
        <v>17</v>
      </c>
      <c r="E11" s="70" t="n">
        <v>5</v>
      </c>
    </row>
    <row r="12" customFormat="false" ht="15" hidden="false" customHeight="false" outlineLevel="0" collapsed="false">
      <c r="A12" s="5" t="s">
        <v>67</v>
      </c>
      <c r="B12" s="66" t="n">
        <v>120000</v>
      </c>
      <c r="C12" s="70" t="n">
        <v>65</v>
      </c>
      <c r="D12" s="70" t="n">
        <v>24</v>
      </c>
      <c r="E12" s="70" t="n">
        <v>8</v>
      </c>
    </row>
    <row r="13" customFormat="false" ht="15" hidden="false" customHeight="false" outlineLevel="0" collapsed="false">
      <c r="A13" s="5" t="s">
        <v>68</v>
      </c>
      <c r="B13" s="66" t="n">
        <v>60000</v>
      </c>
      <c r="C13" s="70" t="n">
        <v>110</v>
      </c>
      <c r="D13" s="70" t="n">
        <v>41</v>
      </c>
      <c r="E13" s="70" t="n">
        <v>13</v>
      </c>
    </row>
    <row r="15" customFormat="false" ht="23.85" hidden="false" customHeight="false" outlineLevel="0" collapsed="false">
      <c r="A15" s="23" t="s">
        <v>224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</row>
    <row r="16" customFormat="false" ht="15" hidden="false" customHeight="false" outlineLevel="0" collapsed="false">
      <c r="A16" s="5" t="s">
        <v>225</v>
      </c>
      <c r="B16" s="51" t="s">
        <v>188</v>
      </c>
      <c r="C16" s="51" t="s">
        <v>189</v>
      </c>
      <c r="D16" s="51" t="s">
        <v>190</v>
      </c>
      <c r="E16" s="51" t="s">
        <v>191</v>
      </c>
      <c r="F16" s="51" t="s">
        <v>192</v>
      </c>
      <c r="G16" s="51" t="s">
        <v>193</v>
      </c>
      <c r="H16" s="51" t="s">
        <v>194</v>
      </c>
      <c r="I16" s="51" t="s">
        <v>195</v>
      </c>
      <c r="J16" s="51" t="s">
        <v>196</v>
      </c>
      <c r="K16" s="51" t="s">
        <v>197</v>
      </c>
      <c r="L16" s="51" t="s">
        <v>198</v>
      </c>
      <c r="M16" s="51" t="s">
        <v>199</v>
      </c>
      <c r="N16" s="51" t="s">
        <v>102</v>
      </c>
    </row>
    <row r="17" customFormat="false" ht="15" hidden="false" customHeight="false" outlineLevel="0" collapsed="false">
      <c r="A17" s="5" t="s">
        <v>226</v>
      </c>
      <c r="B17" s="69" t="n">
        <v>0.065</v>
      </c>
      <c r="C17" s="69" t="n">
        <v>0.065</v>
      </c>
      <c r="D17" s="69" t="n">
        <v>0.075</v>
      </c>
      <c r="E17" s="69" t="n">
        <v>0.075</v>
      </c>
      <c r="F17" s="69" t="n">
        <v>0.08</v>
      </c>
      <c r="G17" s="69" t="n">
        <v>0.075</v>
      </c>
      <c r="H17" s="69" t="n">
        <v>0.07</v>
      </c>
      <c r="I17" s="69" t="n">
        <v>0.075</v>
      </c>
      <c r="J17" s="69" t="n">
        <v>0.085</v>
      </c>
      <c r="K17" s="69" t="n">
        <v>0.095</v>
      </c>
      <c r="L17" s="69" t="n">
        <v>0.125</v>
      </c>
      <c r="M17" s="69" t="n">
        <v>0.115</v>
      </c>
      <c r="N17" s="31" t="n">
        <f aca="false">SUM(B17:M17)</f>
        <v>1</v>
      </c>
    </row>
    <row r="18" customFormat="false" ht="15" hidden="false" customHeight="false" outlineLevel="0" collapsed="false">
      <c r="A18" s="2" t="s">
        <v>227</v>
      </c>
    </row>
    <row r="19" customFormat="false" ht="15" hidden="false" customHeight="false" outlineLevel="0" collapsed="false">
      <c r="A19" s="23" t="s">
        <v>228</v>
      </c>
      <c r="B19" s="23" t="s">
        <v>229</v>
      </c>
      <c r="C19" s="23" t="s">
        <v>230</v>
      </c>
      <c r="D19" s="23"/>
      <c r="E19" s="23"/>
    </row>
    <row r="20" customFormat="false" ht="15" hidden="false" customHeight="false" outlineLevel="0" collapsed="false">
      <c r="A20" s="5" t="s">
        <v>231</v>
      </c>
      <c r="B20" s="69" t="n">
        <v>0.045</v>
      </c>
      <c r="C20" s="2" t="s">
        <v>232</v>
      </c>
    </row>
    <row r="21" customFormat="false" ht="15" hidden="false" customHeight="false" outlineLevel="0" collapsed="false">
      <c r="A21" s="5" t="s">
        <v>233</v>
      </c>
      <c r="B21" s="69" t="n">
        <v>0.09</v>
      </c>
      <c r="C21" s="2" t="s">
        <v>234</v>
      </c>
    </row>
    <row r="22" customFormat="false" ht="15" hidden="false" customHeight="false" outlineLevel="0" collapsed="false">
      <c r="A22" s="5" t="s">
        <v>235</v>
      </c>
      <c r="B22" s="67" t="n">
        <v>285000</v>
      </c>
      <c r="C22" s="2" t="s">
        <v>236</v>
      </c>
    </row>
    <row r="23" customFormat="false" ht="15" hidden="false" customHeight="false" outlineLevel="0" collapsed="false">
      <c r="A23" s="5" t="s">
        <v>237</v>
      </c>
      <c r="B23" s="69" t="n">
        <v>0.03</v>
      </c>
      <c r="C23" s="2" t="s">
        <v>238</v>
      </c>
    </row>
    <row r="24" customFormat="false" ht="15" hidden="false" customHeight="false" outlineLevel="0" collapsed="false">
      <c r="A24" s="5" t="s">
        <v>239</v>
      </c>
      <c r="B24" s="71" t="n">
        <v>4</v>
      </c>
      <c r="C24" s="2" t="s">
        <v>240</v>
      </c>
    </row>
    <row r="25" customFormat="false" ht="15" hidden="false" customHeight="false" outlineLevel="0" collapsed="false">
      <c r="A25" s="5" t="s">
        <v>241</v>
      </c>
      <c r="B25" s="67" t="n">
        <v>62000</v>
      </c>
      <c r="C25" s="2" t="s">
        <v>242</v>
      </c>
    </row>
    <row r="26" customFormat="false" ht="15" hidden="false" customHeight="false" outlineLevel="0" collapsed="false">
      <c r="A26" s="5" t="s">
        <v>243</v>
      </c>
      <c r="B26" s="67" t="n">
        <v>38000</v>
      </c>
      <c r="C26" s="2" t="s">
        <v>244</v>
      </c>
    </row>
    <row r="27" customFormat="false" ht="15" hidden="false" customHeight="false" outlineLevel="0" collapsed="false">
      <c r="A27" s="5" t="s">
        <v>245</v>
      </c>
      <c r="B27" s="67" t="n">
        <v>22000</v>
      </c>
      <c r="C27" s="2" t="s">
        <v>246</v>
      </c>
    </row>
    <row r="28" customFormat="false" ht="15" hidden="false" customHeight="false" outlineLevel="0" collapsed="false">
      <c r="A28" s="5" t="s">
        <v>247</v>
      </c>
      <c r="B28" s="67" t="n">
        <v>35000</v>
      </c>
      <c r="C28" s="2" t="s">
        <v>248</v>
      </c>
    </row>
    <row r="29" customFormat="false" ht="15" hidden="false" customHeight="false" outlineLevel="0" collapsed="false">
      <c r="A29" s="5" t="s">
        <v>249</v>
      </c>
      <c r="B29" s="71" t="n">
        <v>4</v>
      </c>
      <c r="C29" s="2" t="s">
        <v>240</v>
      </c>
    </row>
    <row r="30" customFormat="false" ht="15" hidden="false" customHeight="false" outlineLevel="0" collapsed="false">
      <c r="A30" s="5" t="s">
        <v>250</v>
      </c>
      <c r="B30" s="67" t="n">
        <v>15000</v>
      </c>
      <c r="C30" s="2" t="s">
        <v>251</v>
      </c>
    </row>
    <row r="31" customFormat="false" ht="15" hidden="false" customHeight="false" outlineLevel="0" collapsed="false">
      <c r="A31" s="5" t="s">
        <v>252</v>
      </c>
      <c r="B31" s="67" t="n">
        <v>12000</v>
      </c>
      <c r="C31" s="2" t="s">
        <v>253</v>
      </c>
    </row>
    <row r="32" customFormat="false" ht="15" hidden="false" customHeight="false" outlineLevel="0" collapsed="false">
      <c r="A32" s="5" t="s">
        <v>254</v>
      </c>
      <c r="B32" s="67" t="n">
        <v>18000</v>
      </c>
      <c r="C32" s="2" t="s">
        <v>255</v>
      </c>
    </row>
    <row r="34" customFormat="false" ht="42" hidden="false" customHeight="true" outlineLevel="0" collapsed="false">
      <c r="A34" s="23" t="s">
        <v>256</v>
      </c>
      <c r="B34" s="23" t="s">
        <v>257</v>
      </c>
      <c r="C34" s="23" t="s">
        <v>221</v>
      </c>
      <c r="D34" s="23" t="s">
        <v>222</v>
      </c>
      <c r="E34" s="23"/>
      <c r="F34" s="23" t="s">
        <v>258</v>
      </c>
      <c r="G34" s="23" t="s">
        <v>259</v>
      </c>
      <c r="H34" s="23" t="s">
        <v>201</v>
      </c>
      <c r="I34" s="23"/>
      <c r="J34" s="23"/>
      <c r="K34" s="23"/>
      <c r="L34" s="23"/>
      <c r="M34" s="23"/>
      <c r="N34" s="23"/>
    </row>
    <row r="35" customFormat="false" ht="15" hidden="false" customHeight="false" outlineLevel="0" collapsed="false">
      <c r="A35" s="5" t="s">
        <v>66</v>
      </c>
      <c r="B35" s="72" t="n">
        <v>0.08</v>
      </c>
      <c r="C35" s="73" t="n">
        <v>47</v>
      </c>
      <c r="D35" s="73" t="n">
        <v>16.83</v>
      </c>
      <c r="F35" s="59" t="n">
        <f aca="false">SUM(Actuals!H6:J6)/SUM(Budget!H6:J6)-1</f>
        <v>0.0902173913043478</v>
      </c>
      <c r="G35" s="52" t="n">
        <f aca="false">SUM(Actuals!H12:J12)/SUM(Actuals!H6:J6)</f>
        <v>46.882064916362</v>
      </c>
      <c r="H35" s="2" t="s">
        <v>260</v>
      </c>
    </row>
    <row r="36" customFormat="false" ht="15" hidden="false" customHeight="false" outlineLevel="0" collapsed="false">
      <c r="A36" s="5" t="s">
        <v>67</v>
      </c>
      <c r="B36" s="72" t="n">
        <v>-0.04</v>
      </c>
      <c r="C36" s="73" t="n">
        <v>65</v>
      </c>
      <c r="D36" s="73" t="n">
        <v>25.68</v>
      </c>
      <c r="F36" s="59" t="n">
        <f aca="false">SUM(Actuals!H7:J7)/SUM(Budget!H7:J7)-1</f>
        <v>-0.0578260869565217</v>
      </c>
      <c r="G36" s="52" t="n">
        <f aca="false">SUM(Actuals!H13:J13)/SUM(Actuals!H7:J7)</f>
        <v>64.8763267189663</v>
      </c>
      <c r="H36" s="2" t="s">
        <v>261</v>
      </c>
    </row>
    <row r="37" customFormat="false" ht="15" hidden="false" customHeight="false" outlineLevel="0" collapsed="false">
      <c r="A37" s="5" t="s">
        <v>68</v>
      </c>
      <c r="B37" s="72" t="n">
        <v>0.04</v>
      </c>
      <c r="C37" s="73" t="n">
        <v>114.4</v>
      </c>
      <c r="D37" s="73" t="n">
        <v>41.41</v>
      </c>
      <c r="F37" s="59" t="n">
        <f aca="false">SUM(Actuals!H8:J8)/SUM(Budget!H8:J8)-1</f>
        <v>0.0402173913043478</v>
      </c>
      <c r="G37" s="52" t="n">
        <f aca="false">SUM(Actuals!H14:J14)/SUM(Actuals!H8:J8)</f>
        <v>114.4</v>
      </c>
      <c r="H37" s="2" t="s">
        <v>262</v>
      </c>
    </row>
    <row r="39" customFormat="false" ht="23.85" hidden="false" customHeight="false" outlineLevel="0" collapsed="false">
      <c r="A39" s="23" t="s">
        <v>263</v>
      </c>
      <c r="B39" s="23" t="s">
        <v>18</v>
      </c>
      <c r="C39" s="23" t="s">
        <v>264</v>
      </c>
      <c r="D39" s="23" t="s">
        <v>265</v>
      </c>
      <c r="E39" s="23" t="s">
        <v>201</v>
      </c>
      <c r="F39" s="23"/>
      <c r="G39" s="23"/>
      <c r="H39" s="23"/>
      <c r="I39" s="23"/>
      <c r="J39" s="23"/>
      <c r="K39" s="23"/>
      <c r="L39" s="23"/>
      <c r="M39" s="23"/>
      <c r="N39" s="23"/>
    </row>
    <row r="40" customFormat="false" ht="15" hidden="false" customHeight="false" outlineLevel="0" collapsed="false">
      <c r="A40" s="5" t="s">
        <v>266</v>
      </c>
      <c r="B40" s="72" t="n">
        <v>0.02</v>
      </c>
      <c r="C40" s="31" t="n">
        <v>0</v>
      </c>
      <c r="D40" s="59" t="n">
        <f aca="false">SUM(Actuals!H19:J19)/(SUM(Actuals!H6:J6)*E11+SUM(Actuals!H7:J7)*E12+SUM(Actuals!H8:J8)*E13)-1</f>
        <v>0.0483619797460029</v>
      </c>
      <c r="E40" s="2" t="s">
        <v>267</v>
      </c>
    </row>
    <row r="41" customFormat="false" ht="15" hidden="false" customHeight="false" outlineLevel="0" collapsed="false">
      <c r="A41" s="5" t="s">
        <v>231</v>
      </c>
      <c r="B41" s="72" t="n">
        <v>0.05</v>
      </c>
      <c r="C41" s="31" t="n">
        <f aca="false">B20</f>
        <v>0.045</v>
      </c>
      <c r="D41" s="59" t="n">
        <f aca="false">SUM(Actuals!H20:J20)/SUM(Actuals!H15:J15)</f>
        <v>0.0540459091344831</v>
      </c>
      <c r="E41" s="2" t="s">
        <v>268</v>
      </c>
    </row>
    <row r="42" customFormat="false" ht="15" hidden="false" customHeight="false" outlineLevel="0" collapsed="false">
      <c r="A42" s="5" t="s">
        <v>235</v>
      </c>
      <c r="B42" s="74" t="n">
        <v>298000</v>
      </c>
      <c r="C42" s="40" t="n">
        <f aca="false">B22*(1+B23)</f>
        <v>293550</v>
      </c>
      <c r="D42" s="39" t="n">
        <f aca="false">AVERAGE(Actuals!H26:J26)</f>
        <v>294200</v>
      </c>
      <c r="E42" s="2" t="s">
        <v>269</v>
      </c>
    </row>
    <row r="43" customFormat="false" ht="15" hidden="false" customHeight="false" outlineLevel="0" collapsed="false">
      <c r="A43" s="5" t="s">
        <v>233</v>
      </c>
      <c r="B43" s="72" t="n">
        <v>0.092</v>
      </c>
      <c r="C43" s="31" t="n">
        <f aca="false">B21</f>
        <v>0.09</v>
      </c>
      <c r="D43" s="59" t="n">
        <f aca="false">SUM(Actuals!H27:J27)/SUM(Actuals!H15:J15)</f>
        <v>0.0957343224716902</v>
      </c>
      <c r="E43" s="2" t="s">
        <v>270</v>
      </c>
    </row>
    <row r="44" customFormat="false" ht="15" hidden="false" customHeight="false" outlineLevel="0" collapsed="false">
      <c r="A44" s="5" t="s">
        <v>241</v>
      </c>
      <c r="B44" s="74" t="n">
        <v>64100</v>
      </c>
      <c r="C44" s="40" t="n">
        <f aca="false">B25</f>
        <v>62000</v>
      </c>
      <c r="D44" s="39" t="n">
        <f aca="false">AVERAGE(Actuals!H28:J28)</f>
        <v>64100</v>
      </c>
      <c r="E44" s="2" t="s">
        <v>271</v>
      </c>
    </row>
    <row r="45" customFormat="false" ht="15" hidden="false" customHeight="false" outlineLevel="0" collapsed="false">
      <c r="A45" s="5" t="s">
        <v>243</v>
      </c>
      <c r="B45" s="74" t="n">
        <v>44700</v>
      </c>
      <c r="C45" s="40" t="n">
        <f aca="false">B26</f>
        <v>38000</v>
      </c>
      <c r="D45" s="39" t="n">
        <f aca="false">AVERAGE(Actuals!H29:J29)</f>
        <v>44623.3333333333</v>
      </c>
      <c r="E45" s="2" t="s">
        <v>272</v>
      </c>
    </row>
    <row r="46" customFormat="false" ht="15" hidden="false" customHeight="false" outlineLevel="0" collapsed="false">
      <c r="A46" s="5" t="s">
        <v>245</v>
      </c>
      <c r="B46" s="74" t="n">
        <v>24000</v>
      </c>
      <c r="C46" s="40" t="n">
        <f aca="false">B27</f>
        <v>22000</v>
      </c>
      <c r="D46" s="39" t="n">
        <f aca="false">AVERAGE(Actuals!H30:J30)</f>
        <v>25766.6666666667</v>
      </c>
      <c r="E46" s="2" t="s">
        <v>273</v>
      </c>
    </row>
    <row r="47" customFormat="false" ht="15" hidden="false" customHeight="false" outlineLevel="0" collapsed="false">
      <c r="A47" s="5" t="s">
        <v>250</v>
      </c>
      <c r="B47" s="74" t="n">
        <v>13000</v>
      </c>
      <c r="C47" s="40" t="n">
        <f aca="false">B30</f>
        <v>15000</v>
      </c>
      <c r="D47" s="39" t="n">
        <f aca="false">AVERAGE(Actuals!H31:J31)</f>
        <v>11800</v>
      </c>
      <c r="E47" s="2" t="s">
        <v>274</v>
      </c>
    </row>
    <row r="48" customFormat="false" ht="15" hidden="false" customHeight="false" outlineLevel="0" collapsed="false">
      <c r="A48" s="5" t="s">
        <v>252</v>
      </c>
      <c r="B48" s="74" t="n">
        <v>12960</v>
      </c>
      <c r="C48" s="40" t="n">
        <f aca="false">B31</f>
        <v>12000</v>
      </c>
      <c r="D48" s="39" t="n">
        <f aca="false">AVERAGE(Actuals!H32:J32)</f>
        <v>12960</v>
      </c>
      <c r="E48" s="2" t="s">
        <v>275</v>
      </c>
    </row>
    <row r="49" customFormat="false" ht="15" hidden="false" customHeight="false" outlineLevel="0" collapsed="false">
      <c r="A49" s="5" t="s">
        <v>254</v>
      </c>
      <c r="B49" s="74" t="n">
        <v>18500</v>
      </c>
      <c r="C49" s="40" t="n">
        <f aca="false">B32</f>
        <v>18000</v>
      </c>
      <c r="D49" s="39" t="n">
        <f aca="false">AVERAGE(Actuals!H33:J33)</f>
        <v>18366.6666666667</v>
      </c>
      <c r="E49" s="2" t="s">
        <v>276</v>
      </c>
    </row>
    <row r="51" customFormat="false" ht="15" hidden="false" customHeight="false" outlineLevel="0" collapsed="false">
      <c r="A51" s="2" t="s">
        <v>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E4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4"/>
  </cols>
  <sheetData>
    <row r="1" customFormat="false" ht="15" hidden="false" customHeight="false" outlineLevel="0" collapsed="false">
      <c r="A1" s="75" t="s">
        <v>278</v>
      </c>
      <c r="B1" s="75" t="s">
        <v>279</v>
      </c>
      <c r="C1" s="75" t="s">
        <v>280</v>
      </c>
      <c r="D1" s="75" t="s">
        <v>281</v>
      </c>
      <c r="E1" s="75" t="s">
        <v>112</v>
      </c>
    </row>
    <row r="2" customFormat="false" ht="15" hidden="false" customHeight="false" outlineLevel="0" collapsed="false">
      <c r="A2" s="76" t="n">
        <v>46023</v>
      </c>
      <c r="B2" s="5" t="s">
        <v>20</v>
      </c>
      <c r="C2" s="5" t="n">
        <v>1</v>
      </c>
      <c r="D2" s="5" t="s">
        <v>66</v>
      </c>
      <c r="E2" s="77" t="n">
        <f aca="false">Budget!B12</f>
        <v>561600</v>
      </c>
    </row>
    <row r="3" customFormat="false" ht="15" hidden="false" customHeight="false" outlineLevel="0" collapsed="false">
      <c r="A3" s="76" t="n">
        <v>46023</v>
      </c>
      <c r="B3" s="5" t="s">
        <v>20</v>
      </c>
      <c r="C3" s="5" t="n">
        <v>2</v>
      </c>
      <c r="D3" s="5" t="s">
        <v>67</v>
      </c>
      <c r="E3" s="77" t="n">
        <f aca="false">Budget!B13</f>
        <v>507000</v>
      </c>
    </row>
    <row r="4" customFormat="false" ht="15" hidden="false" customHeight="false" outlineLevel="0" collapsed="false">
      <c r="A4" s="76" t="n">
        <v>46023</v>
      </c>
      <c r="B4" s="5" t="s">
        <v>20</v>
      </c>
      <c r="C4" s="5" t="n">
        <v>3</v>
      </c>
      <c r="D4" s="5" t="s">
        <v>68</v>
      </c>
      <c r="E4" s="77" t="n">
        <f aca="false">Budget!B14</f>
        <v>429000</v>
      </c>
    </row>
    <row r="5" customFormat="false" ht="15" hidden="false" customHeight="false" outlineLevel="0" collapsed="false">
      <c r="A5" s="76" t="n">
        <v>46023</v>
      </c>
      <c r="B5" s="5" t="s">
        <v>20</v>
      </c>
      <c r="C5" s="5" t="n">
        <v>4</v>
      </c>
      <c r="D5" s="5" t="s">
        <v>282</v>
      </c>
      <c r="E5" s="77" t="n">
        <f aca="false">Budget!B18</f>
        <v>546000</v>
      </c>
    </row>
    <row r="6" customFormat="false" ht="15" hidden="false" customHeight="false" outlineLevel="0" collapsed="false">
      <c r="A6" s="76" t="n">
        <v>46023</v>
      </c>
      <c r="B6" s="5" t="s">
        <v>20</v>
      </c>
      <c r="C6" s="5" t="n">
        <v>5</v>
      </c>
      <c r="D6" s="5" t="s">
        <v>282</v>
      </c>
      <c r="E6" s="77" t="n">
        <f aca="false">Budget!B19</f>
        <v>171600</v>
      </c>
    </row>
    <row r="7" customFormat="false" ht="15" hidden="false" customHeight="false" outlineLevel="0" collapsed="false">
      <c r="A7" s="76" t="n">
        <v>46023</v>
      </c>
      <c r="B7" s="5" t="s">
        <v>20</v>
      </c>
      <c r="C7" s="5" t="n">
        <v>6</v>
      </c>
      <c r="D7" s="5" t="s">
        <v>282</v>
      </c>
      <c r="E7" s="77" t="n">
        <f aca="false">Budget!B20</f>
        <v>67392</v>
      </c>
    </row>
    <row r="8" customFormat="false" ht="15" hidden="false" customHeight="false" outlineLevel="0" collapsed="false">
      <c r="A8" s="76" t="n">
        <v>46023</v>
      </c>
      <c r="B8" s="5" t="s">
        <v>20</v>
      </c>
      <c r="C8" s="5" t="n">
        <v>7</v>
      </c>
      <c r="D8" s="5" t="s">
        <v>282</v>
      </c>
      <c r="E8" s="77" t="n">
        <f aca="false">Budget!B26</f>
        <v>285000</v>
      </c>
    </row>
    <row r="9" customFormat="false" ht="15" hidden="false" customHeight="false" outlineLevel="0" collapsed="false">
      <c r="A9" s="76" t="n">
        <v>46023</v>
      </c>
      <c r="B9" s="5" t="s">
        <v>20</v>
      </c>
      <c r="C9" s="5" t="n">
        <v>8</v>
      </c>
      <c r="D9" s="5" t="s">
        <v>282</v>
      </c>
      <c r="E9" s="77" t="n">
        <f aca="false">Budget!B27</f>
        <v>134784</v>
      </c>
    </row>
    <row r="10" customFormat="false" ht="15" hidden="false" customHeight="false" outlineLevel="0" collapsed="false">
      <c r="A10" s="76" t="n">
        <v>46023</v>
      </c>
      <c r="B10" s="5" t="s">
        <v>20</v>
      </c>
      <c r="C10" s="5" t="n">
        <v>9</v>
      </c>
      <c r="D10" s="5" t="s">
        <v>282</v>
      </c>
      <c r="E10" s="77" t="n">
        <f aca="false">Budget!B28</f>
        <v>62000</v>
      </c>
    </row>
    <row r="11" customFormat="false" ht="15" hidden="false" customHeight="false" outlineLevel="0" collapsed="false">
      <c r="A11" s="76" t="n">
        <v>46023</v>
      </c>
      <c r="B11" s="5" t="s">
        <v>20</v>
      </c>
      <c r="C11" s="5" t="n">
        <v>10</v>
      </c>
      <c r="D11" s="5" t="s">
        <v>282</v>
      </c>
      <c r="E11" s="77" t="n">
        <f aca="false">Budget!B29</f>
        <v>38000</v>
      </c>
    </row>
    <row r="12" customFormat="false" ht="15" hidden="false" customHeight="false" outlineLevel="0" collapsed="false">
      <c r="A12" s="76" t="n">
        <v>46023</v>
      </c>
      <c r="B12" s="5" t="s">
        <v>20</v>
      </c>
      <c r="C12" s="5" t="n">
        <v>11</v>
      </c>
      <c r="D12" s="5" t="s">
        <v>282</v>
      </c>
      <c r="E12" s="77" t="n">
        <f aca="false">Budget!B30</f>
        <v>22000</v>
      </c>
    </row>
    <row r="13" customFormat="false" ht="15" hidden="false" customHeight="false" outlineLevel="0" collapsed="false">
      <c r="A13" s="76" t="n">
        <v>46023</v>
      </c>
      <c r="B13" s="5" t="s">
        <v>20</v>
      </c>
      <c r="C13" s="5" t="n">
        <v>12</v>
      </c>
      <c r="D13" s="5" t="s">
        <v>282</v>
      </c>
      <c r="E13" s="77" t="n">
        <f aca="false">Budget!B31</f>
        <v>15000</v>
      </c>
    </row>
    <row r="14" customFormat="false" ht="15" hidden="false" customHeight="false" outlineLevel="0" collapsed="false">
      <c r="A14" s="76" t="n">
        <v>46023</v>
      </c>
      <c r="B14" s="5" t="s">
        <v>20</v>
      </c>
      <c r="C14" s="5" t="n">
        <v>13</v>
      </c>
      <c r="D14" s="5" t="s">
        <v>282</v>
      </c>
      <c r="E14" s="77" t="n">
        <f aca="false">Budget!B32</f>
        <v>12000</v>
      </c>
    </row>
    <row r="15" customFormat="false" ht="15" hidden="false" customHeight="false" outlineLevel="0" collapsed="false">
      <c r="A15" s="76" t="n">
        <v>46023</v>
      </c>
      <c r="B15" s="5" t="s">
        <v>20</v>
      </c>
      <c r="C15" s="5" t="n">
        <v>14</v>
      </c>
      <c r="D15" s="5" t="s">
        <v>282</v>
      </c>
      <c r="E15" s="77" t="n">
        <f aca="false">Budget!B33</f>
        <v>18000</v>
      </c>
    </row>
    <row r="16" customFormat="false" ht="15" hidden="false" customHeight="false" outlineLevel="0" collapsed="false">
      <c r="A16" s="76" t="n">
        <v>46054</v>
      </c>
      <c r="B16" s="5" t="s">
        <v>20</v>
      </c>
      <c r="C16" s="5" t="n">
        <v>1</v>
      </c>
      <c r="D16" s="5" t="s">
        <v>66</v>
      </c>
      <c r="E16" s="77" t="n">
        <f aca="false">Budget!C12</f>
        <v>561600</v>
      </c>
    </row>
    <row r="17" customFormat="false" ht="15" hidden="false" customHeight="false" outlineLevel="0" collapsed="false">
      <c r="A17" s="76" t="n">
        <v>46054</v>
      </c>
      <c r="B17" s="5" t="s">
        <v>20</v>
      </c>
      <c r="C17" s="5" t="n">
        <v>2</v>
      </c>
      <c r="D17" s="5" t="s">
        <v>67</v>
      </c>
      <c r="E17" s="77" t="n">
        <f aca="false">Budget!C13</f>
        <v>507000</v>
      </c>
    </row>
    <row r="18" customFormat="false" ht="15" hidden="false" customHeight="false" outlineLevel="0" collapsed="false">
      <c r="A18" s="76" t="n">
        <v>46054</v>
      </c>
      <c r="B18" s="5" t="s">
        <v>20</v>
      </c>
      <c r="C18" s="5" t="n">
        <v>3</v>
      </c>
      <c r="D18" s="5" t="s">
        <v>68</v>
      </c>
      <c r="E18" s="77" t="n">
        <f aca="false">Budget!C14</f>
        <v>429000</v>
      </c>
    </row>
    <row r="19" customFormat="false" ht="15" hidden="false" customHeight="false" outlineLevel="0" collapsed="false">
      <c r="A19" s="76" t="n">
        <v>46054</v>
      </c>
      <c r="B19" s="5" t="s">
        <v>20</v>
      </c>
      <c r="C19" s="5" t="n">
        <v>4</v>
      </c>
      <c r="D19" s="5" t="s">
        <v>282</v>
      </c>
      <c r="E19" s="77" t="n">
        <f aca="false">Budget!C18</f>
        <v>546000</v>
      </c>
    </row>
    <row r="20" customFormat="false" ht="15" hidden="false" customHeight="false" outlineLevel="0" collapsed="false">
      <c r="A20" s="76" t="n">
        <v>46054</v>
      </c>
      <c r="B20" s="5" t="s">
        <v>20</v>
      </c>
      <c r="C20" s="5" t="n">
        <v>5</v>
      </c>
      <c r="D20" s="5" t="s">
        <v>282</v>
      </c>
      <c r="E20" s="77" t="n">
        <f aca="false">Budget!C19</f>
        <v>171600</v>
      </c>
    </row>
    <row r="21" customFormat="false" ht="15" hidden="false" customHeight="false" outlineLevel="0" collapsed="false">
      <c r="A21" s="76" t="n">
        <v>46054</v>
      </c>
      <c r="B21" s="5" t="s">
        <v>20</v>
      </c>
      <c r="C21" s="5" t="n">
        <v>6</v>
      </c>
      <c r="D21" s="5" t="s">
        <v>282</v>
      </c>
      <c r="E21" s="77" t="n">
        <f aca="false">Budget!C20</f>
        <v>67392</v>
      </c>
    </row>
    <row r="22" customFormat="false" ht="15" hidden="false" customHeight="false" outlineLevel="0" collapsed="false">
      <c r="A22" s="76" t="n">
        <v>46054</v>
      </c>
      <c r="B22" s="5" t="s">
        <v>20</v>
      </c>
      <c r="C22" s="5" t="n">
        <v>7</v>
      </c>
      <c r="D22" s="5" t="s">
        <v>282</v>
      </c>
      <c r="E22" s="77" t="n">
        <f aca="false">Budget!C26</f>
        <v>285000</v>
      </c>
    </row>
    <row r="23" customFormat="false" ht="15" hidden="false" customHeight="false" outlineLevel="0" collapsed="false">
      <c r="A23" s="76" t="n">
        <v>46054</v>
      </c>
      <c r="B23" s="5" t="s">
        <v>20</v>
      </c>
      <c r="C23" s="5" t="n">
        <v>8</v>
      </c>
      <c r="D23" s="5" t="s">
        <v>282</v>
      </c>
      <c r="E23" s="77" t="n">
        <f aca="false">Budget!C27</f>
        <v>134784</v>
      </c>
    </row>
    <row r="24" customFormat="false" ht="15" hidden="false" customHeight="false" outlineLevel="0" collapsed="false">
      <c r="A24" s="76" t="n">
        <v>46054</v>
      </c>
      <c r="B24" s="5" t="s">
        <v>20</v>
      </c>
      <c r="C24" s="5" t="n">
        <v>9</v>
      </c>
      <c r="D24" s="5" t="s">
        <v>282</v>
      </c>
      <c r="E24" s="77" t="n">
        <f aca="false">Budget!C28</f>
        <v>62000</v>
      </c>
    </row>
    <row r="25" customFormat="false" ht="15" hidden="false" customHeight="false" outlineLevel="0" collapsed="false">
      <c r="A25" s="76" t="n">
        <v>46054</v>
      </c>
      <c r="B25" s="5" t="s">
        <v>20</v>
      </c>
      <c r="C25" s="5" t="n">
        <v>10</v>
      </c>
      <c r="D25" s="5" t="s">
        <v>282</v>
      </c>
      <c r="E25" s="77" t="n">
        <f aca="false">Budget!C29</f>
        <v>38000</v>
      </c>
    </row>
    <row r="26" customFormat="false" ht="15" hidden="false" customHeight="false" outlineLevel="0" collapsed="false">
      <c r="A26" s="76" t="n">
        <v>46054</v>
      </c>
      <c r="B26" s="5" t="s">
        <v>20</v>
      </c>
      <c r="C26" s="5" t="n">
        <v>11</v>
      </c>
      <c r="D26" s="5" t="s">
        <v>282</v>
      </c>
      <c r="E26" s="77" t="n">
        <f aca="false">Budget!C30</f>
        <v>22000</v>
      </c>
    </row>
    <row r="27" customFormat="false" ht="15" hidden="false" customHeight="false" outlineLevel="0" collapsed="false">
      <c r="A27" s="76" t="n">
        <v>46054</v>
      </c>
      <c r="B27" s="5" t="s">
        <v>20</v>
      </c>
      <c r="C27" s="5" t="n">
        <v>12</v>
      </c>
      <c r="D27" s="5" t="s">
        <v>282</v>
      </c>
      <c r="E27" s="77" t="n">
        <f aca="false">Budget!C31</f>
        <v>15000</v>
      </c>
    </row>
    <row r="28" customFormat="false" ht="15" hidden="false" customHeight="false" outlineLevel="0" collapsed="false">
      <c r="A28" s="76" t="n">
        <v>46054</v>
      </c>
      <c r="B28" s="5" t="s">
        <v>20</v>
      </c>
      <c r="C28" s="5" t="n">
        <v>13</v>
      </c>
      <c r="D28" s="5" t="s">
        <v>282</v>
      </c>
      <c r="E28" s="77" t="n">
        <f aca="false">Budget!C32</f>
        <v>12000</v>
      </c>
    </row>
    <row r="29" customFormat="false" ht="15" hidden="false" customHeight="false" outlineLevel="0" collapsed="false">
      <c r="A29" s="76" t="n">
        <v>46054</v>
      </c>
      <c r="B29" s="5" t="s">
        <v>20</v>
      </c>
      <c r="C29" s="5" t="n">
        <v>14</v>
      </c>
      <c r="D29" s="5" t="s">
        <v>282</v>
      </c>
      <c r="E29" s="77" t="n">
        <f aca="false">Budget!C33</f>
        <v>18000</v>
      </c>
    </row>
    <row r="30" customFormat="false" ht="15" hidden="false" customHeight="false" outlineLevel="0" collapsed="false">
      <c r="A30" s="76" t="n">
        <v>46082</v>
      </c>
      <c r="B30" s="5" t="s">
        <v>20</v>
      </c>
      <c r="C30" s="5" t="n">
        <v>1</v>
      </c>
      <c r="D30" s="5" t="s">
        <v>66</v>
      </c>
      <c r="E30" s="77" t="n">
        <f aca="false">Budget!D12</f>
        <v>648000</v>
      </c>
    </row>
    <row r="31" customFormat="false" ht="15" hidden="false" customHeight="false" outlineLevel="0" collapsed="false">
      <c r="A31" s="76" t="n">
        <v>46082</v>
      </c>
      <c r="B31" s="5" t="s">
        <v>20</v>
      </c>
      <c r="C31" s="5" t="n">
        <v>2</v>
      </c>
      <c r="D31" s="5" t="s">
        <v>67</v>
      </c>
      <c r="E31" s="77" t="n">
        <f aca="false">Budget!D13</f>
        <v>585000</v>
      </c>
    </row>
    <row r="32" customFormat="false" ht="15" hidden="false" customHeight="false" outlineLevel="0" collapsed="false">
      <c r="A32" s="76" t="n">
        <v>46082</v>
      </c>
      <c r="B32" s="5" t="s">
        <v>20</v>
      </c>
      <c r="C32" s="5" t="n">
        <v>3</v>
      </c>
      <c r="D32" s="5" t="s">
        <v>68</v>
      </c>
      <c r="E32" s="77" t="n">
        <f aca="false">Budget!D14</f>
        <v>495000</v>
      </c>
    </row>
    <row r="33" customFormat="false" ht="15" hidden="false" customHeight="false" outlineLevel="0" collapsed="false">
      <c r="A33" s="76" t="n">
        <v>46082</v>
      </c>
      <c r="B33" s="5" t="s">
        <v>20</v>
      </c>
      <c r="C33" s="5" t="n">
        <v>4</v>
      </c>
      <c r="D33" s="5" t="s">
        <v>282</v>
      </c>
      <c r="E33" s="77" t="n">
        <f aca="false">Budget!D18</f>
        <v>630000</v>
      </c>
    </row>
    <row r="34" customFormat="false" ht="15" hidden="false" customHeight="false" outlineLevel="0" collapsed="false">
      <c r="A34" s="76" t="n">
        <v>46082</v>
      </c>
      <c r="B34" s="5" t="s">
        <v>20</v>
      </c>
      <c r="C34" s="5" t="n">
        <v>5</v>
      </c>
      <c r="D34" s="5" t="s">
        <v>282</v>
      </c>
      <c r="E34" s="77" t="n">
        <f aca="false">Budget!D19</f>
        <v>198000</v>
      </c>
    </row>
    <row r="35" customFormat="false" ht="15" hidden="false" customHeight="false" outlineLevel="0" collapsed="false">
      <c r="A35" s="76" t="n">
        <v>46082</v>
      </c>
      <c r="B35" s="5" t="s">
        <v>20</v>
      </c>
      <c r="C35" s="5" t="n">
        <v>6</v>
      </c>
      <c r="D35" s="5" t="s">
        <v>282</v>
      </c>
      <c r="E35" s="77" t="n">
        <f aca="false">Budget!D20</f>
        <v>77760</v>
      </c>
    </row>
    <row r="36" customFormat="false" ht="15" hidden="false" customHeight="false" outlineLevel="0" collapsed="false">
      <c r="A36" s="76" t="n">
        <v>46082</v>
      </c>
      <c r="B36" s="5" t="s">
        <v>20</v>
      </c>
      <c r="C36" s="5" t="n">
        <v>7</v>
      </c>
      <c r="D36" s="5" t="s">
        <v>282</v>
      </c>
      <c r="E36" s="77" t="n">
        <f aca="false">Budget!D26</f>
        <v>285000</v>
      </c>
    </row>
    <row r="37" customFormat="false" ht="15" hidden="false" customHeight="false" outlineLevel="0" collapsed="false">
      <c r="A37" s="76" t="n">
        <v>46082</v>
      </c>
      <c r="B37" s="5" t="s">
        <v>20</v>
      </c>
      <c r="C37" s="5" t="n">
        <v>8</v>
      </c>
      <c r="D37" s="5" t="s">
        <v>282</v>
      </c>
      <c r="E37" s="77" t="n">
        <f aca="false">Budget!D27</f>
        <v>155520</v>
      </c>
    </row>
    <row r="38" customFormat="false" ht="15" hidden="false" customHeight="false" outlineLevel="0" collapsed="false">
      <c r="A38" s="76" t="n">
        <v>46082</v>
      </c>
      <c r="B38" s="5" t="s">
        <v>20</v>
      </c>
      <c r="C38" s="5" t="n">
        <v>9</v>
      </c>
      <c r="D38" s="5" t="s">
        <v>282</v>
      </c>
      <c r="E38" s="77" t="n">
        <f aca="false">Budget!D28</f>
        <v>62000</v>
      </c>
    </row>
    <row r="39" customFormat="false" ht="15" hidden="false" customHeight="false" outlineLevel="0" collapsed="false">
      <c r="A39" s="76" t="n">
        <v>46082</v>
      </c>
      <c r="B39" s="5" t="s">
        <v>20</v>
      </c>
      <c r="C39" s="5" t="n">
        <v>10</v>
      </c>
      <c r="D39" s="5" t="s">
        <v>282</v>
      </c>
      <c r="E39" s="77" t="n">
        <f aca="false">Budget!D29</f>
        <v>38000</v>
      </c>
    </row>
    <row r="40" customFormat="false" ht="15" hidden="false" customHeight="false" outlineLevel="0" collapsed="false">
      <c r="A40" s="76" t="n">
        <v>46082</v>
      </c>
      <c r="B40" s="5" t="s">
        <v>20</v>
      </c>
      <c r="C40" s="5" t="n">
        <v>11</v>
      </c>
      <c r="D40" s="5" t="s">
        <v>282</v>
      </c>
      <c r="E40" s="77" t="n">
        <f aca="false">Budget!D30</f>
        <v>22000</v>
      </c>
    </row>
    <row r="41" customFormat="false" ht="15" hidden="false" customHeight="false" outlineLevel="0" collapsed="false">
      <c r="A41" s="76" t="n">
        <v>46082</v>
      </c>
      <c r="B41" s="5" t="s">
        <v>20</v>
      </c>
      <c r="C41" s="5" t="n">
        <v>12</v>
      </c>
      <c r="D41" s="5" t="s">
        <v>282</v>
      </c>
      <c r="E41" s="77" t="n">
        <f aca="false">Budget!D31</f>
        <v>15000</v>
      </c>
    </row>
    <row r="42" customFormat="false" ht="15" hidden="false" customHeight="false" outlineLevel="0" collapsed="false">
      <c r="A42" s="76" t="n">
        <v>46082</v>
      </c>
      <c r="B42" s="5" t="s">
        <v>20</v>
      </c>
      <c r="C42" s="5" t="n">
        <v>13</v>
      </c>
      <c r="D42" s="5" t="s">
        <v>282</v>
      </c>
      <c r="E42" s="77" t="n">
        <f aca="false">Budget!D32</f>
        <v>12000</v>
      </c>
    </row>
    <row r="43" customFormat="false" ht="15" hidden="false" customHeight="false" outlineLevel="0" collapsed="false">
      <c r="A43" s="76" t="n">
        <v>46082</v>
      </c>
      <c r="B43" s="5" t="s">
        <v>20</v>
      </c>
      <c r="C43" s="5" t="n">
        <v>14</v>
      </c>
      <c r="D43" s="5" t="s">
        <v>282</v>
      </c>
      <c r="E43" s="77" t="n">
        <f aca="false">Budget!D33</f>
        <v>18000</v>
      </c>
    </row>
    <row r="44" customFormat="false" ht="15" hidden="false" customHeight="false" outlineLevel="0" collapsed="false">
      <c r="A44" s="76" t="n">
        <v>46113</v>
      </c>
      <c r="B44" s="5" t="s">
        <v>20</v>
      </c>
      <c r="C44" s="5" t="n">
        <v>1</v>
      </c>
      <c r="D44" s="5" t="s">
        <v>66</v>
      </c>
      <c r="E44" s="77" t="n">
        <f aca="false">Budget!E12</f>
        <v>648000</v>
      </c>
    </row>
    <row r="45" customFormat="false" ht="15" hidden="false" customHeight="false" outlineLevel="0" collapsed="false">
      <c r="A45" s="76" t="n">
        <v>46113</v>
      </c>
      <c r="B45" s="5" t="s">
        <v>20</v>
      </c>
      <c r="C45" s="5" t="n">
        <v>2</v>
      </c>
      <c r="D45" s="5" t="s">
        <v>67</v>
      </c>
      <c r="E45" s="77" t="n">
        <f aca="false">Budget!E13</f>
        <v>585000</v>
      </c>
    </row>
    <row r="46" customFormat="false" ht="15" hidden="false" customHeight="false" outlineLevel="0" collapsed="false">
      <c r="A46" s="76" t="n">
        <v>46113</v>
      </c>
      <c r="B46" s="5" t="s">
        <v>20</v>
      </c>
      <c r="C46" s="5" t="n">
        <v>3</v>
      </c>
      <c r="D46" s="5" t="s">
        <v>68</v>
      </c>
      <c r="E46" s="77" t="n">
        <f aca="false">Budget!E14</f>
        <v>495000</v>
      </c>
    </row>
    <row r="47" customFormat="false" ht="15" hidden="false" customHeight="false" outlineLevel="0" collapsed="false">
      <c r="A47" s="76" t="n">
        <v>46113</v>
      </c>
      <c r="B47" s="5" t="s">
        <v>20</v>
      </c>
      <c r="C47" s="5" t="n">
        <v>4</v>
      </c>
      <c r="D47" s="5" t="s">
        <v>282</v>
      </c>
      <c r="E47" s="77" t="n">
        <f aca="false">Budget!E18</f>
        <v>630000</v>
      </c>
    </row>
    <row r="48" customFormat="false" ht="15" hidden="false" customHeight="false" outlineLevel="0" collapsed="false">
      <c r="A48" s="76" t="n">
        <v>46113</v>
      </c>
      <c r="B48" s="5" t="s">
        <v>20</v>
      </c>
      <c r="C48" s="5" t="n">
        <v>5</v>
      </c>
      <c r="D48" s="5" t="s">
        <v>282</v>
      </c>
      <c r="E48" s="77" t="n">
        <f aca="false">Budget!E19</f>
        <v>198000</v>
      </c>
    </row>
    <row r="49" customFormat="false" ht="15" hidden="false" customHeight="false" outlineLevel="0" collapsed="false">
      <c r="A49" s="76" t="n">
        <v>46113</v>
      </c>
      <c r="B49" s="5" t="s">
        <v>20</v>
      </c>
      <c r="C49" s="5" t="n">
        <v>6</v>
      </c>
      <c r="D49" s="5" t="s">
        <v>282</v>
      </c>
      <c r="E49" s="77" t="n">
        <f aca="false">Budget!E20</f>
        <v>77760</v>
      </c>
    </row>
    <row r="50" customFormat="false" ht="15" hidden="false" customHeight="false" outlineLevel="0" collapsed="false">
      <c r="A50" s="76" t="n">
        <v>46113</v>
      </c>
      <c r="B50" s="5" t="s">
        <v>20</v>
      </c>
      <c r="C50" s="5" t="n">
        <v>7</v>
      </c>
      <c r="D50" s="5" t="s">
        <v>282</v>
      </c>
      <c r="E50" s="77" t="n">
        <f aca="false">Budget!E26</f>
        <v>293550</v>
      </c>
    </row>
    <row r="51" customFormat="false" ht="15" hidden="false" customHeight="false" outlineLevel="0" collapsed="false">
      <c r="A51" s="76" t="n">
        <v>46113</v>
      </c>
      <c r="B51" s="5" t="s">
        <v>20</v>
      </c>
      <c r="C51" s="5" t="n">
        <v>8</v>
      </c>
      <c r="D51" s="5" t="s">
        <v>282</v>
      </c>
      <c r="E51" s="77" t="n">
        <f aca="false">Budget!E27</f>
        <v>155520</v>
      </c>
    </row>
    <row r="52" customFormat="false" ht="15" hidden="false" customHeight="false" outlineLevel="0" collapsed="false">
      <c r="A52" s="76" t="n">
        <v>46113</v>
      </c>
      <c r="B52" s="5" t="s">
        <v>20</v>
      </c>
      <c r="C52" s="5" t="n">
        <v>9</v>
      </c>
      <c r="D52" s="5" t="s">
        <v>282</v>
      </c>
      <c r="E52" s="77" t="n">
        <f aca="false">Budget!E28</f>
        <v>62000</v>
      </c>
    </row>
    <row r="53" customFormat="false" ht="15" hidden="false" customHeight="false" outlineLevel="0" collapsed="false">
      <c r="A53" s="76" t="n">
        <v>46113</v>
      </c>
      <c r="B53" s="5" t="s">
        <v>20</v>
      </c>
      <c r="C53" s="5" t="n">
        <v>10</v>
      </c>
      <c r="D53" s="5" t="s">
        <v>282</v>
      </c>
      <c r="E53" s="77" t="n">
        <f aca="false">Budget!E29</f>
        <v>38000</v>
      </c>
    </row>
    <row r="54" customFormat="false" ht="15" hidden="false" customHeight="false" outlineLevel="0" collapsed="false">
      <c r="A54" s="76" t="n">
        <v>46113</v>
      </c>
      <c r="B54" s="5" t="s">
        <v>20</v>
      </c>
      <c r="C54" s="5" t="n">
        <v>11</v>
      </c>
      <c r="D54" s="5" t="s">
        <v>282</v>
      </c>
      <c r="E54" s="77" t="n">
        <f aca="false">Budget!E30</f>
        <v>57000</v>
      </c>
    </row>
    <row r="55" customFormat="false" ht="15" hidden="false" customHeight="false" outlineLevel="0" collapsed="false">
      <c r="A55" s="76" t="n">
        <v>46113</v>
      </c>
      <c r="B55" s="5" t="s">
        <v>20</v>
      </c>
      <c r="C55" s="5" t="n">
        <v>12</v>
      </c>
      <c r="D55" s="5" t="s">
        <v>282</v>
      </c>
      <c r="E55" s="77" t="n">
        <f aca="false">Budget!E31</f>
        <v>15000</v>
      </c>
    </row>
    <row r="56" customFormat="false" ht="15" hidden="false" customHeight="false" outlineLevel="0" collapsed="false">
      <c r="A56" s="76" t="n">
        <v>46113</v>
      </c>
      <c r="B56" s="5" t="s">
        <v>20</v>
      </c>
      <c r="C56" s="5" t="n">
        <v>13</v>
      </c>
      <c r="D56" s="5" t="s">
        <v>282</v>
      </c>
      <c r="E56" s="77" t="n">
        <f aca="false">Budget!E32</f>
        <v>12000</v>
      </c>
    </row>
    <row r="57" customFormat="false" ht="15" hidden="false" customHeight="false" outlineLevel="0" collapsed="false">
      <c r="A57" s="76" t="n">
        <v>46113</v>
      </c>
      <c r="B57" s="5" t="s">
        <v>20</v>
      </c>
      <c r="C57" s="5" t="n">
        <v>14</v>
      </c>
      <c r="D57" s="5" t="s">
        <v>282</v>
      </c>
      <c r="E57" s="77" t="n">
        <f aca="false">Budget!E33</f>
        <v>18000</v>
      </c>
    </row>
    <row r="58" customFormat="false" ht="15" hidden="false" customHeight="false" outlineLevel="0" collapsed="false">
      <c r="A58" s="76" t="n">
        <v>46143</v>
      </c>
      <c r="B58" s="5" t="s">
        <v>20</v>
      </c>
      <c r="C58" s="5" t="n">
        <v>1</v>
      </c>
      <c r="D58" s="5" t="s">
        <v>66</v>
      </c>
      <c r="E58" s="77" t="n">
        <f aca="false">Budget!F12</f>
        <v>691200</v>
      </c>
    </row>
    <row r="59" customFormat="false" ht="15" hidden="false" customHeight="false" outlineLevel="0" collapsed="false">
      <c r="A59" s="76" t="n">
        <v>46143</v>
      </c>
      <c r="B59" s="5" t="s">
        <v>20</v>
      </c>
      <c r="C59" s="5" t="n">
        <v>2</v>
      </c>
      <c r="D59" s="5" t="s">
        <v>67</v>
      </c>
      <c r="E59" s="77" t="n">
        <f aca="false">Budget!F13</f>
        <v>624000</v>
      </c>
    </row>
    <row r="60" customFormat="false" ht="15" hidden="false" customHeight="false" outlineLevel="0" collapsed="false">
      <c r="A60" s="76" t="n">
        <v>46143</v>
      </c>
      <c r="B60" s="5" t="s">
        <v>20</v>
      </c>
      <c r="C60" s="5" t="n">
        <v>3</v>
      </c>
      <c r="D60" s="5" t="s">
        <v>68</v>
      </c>
      <c r="E60" s="77" t="n">
        <f aca="false">Budget!F14</f>
        <v>528000</v>
      </c>
    </row>
    <row r="61" customFormat="false" ht="15" hidden="false" customHeight="false" outlineLevel="0" collapsed="false">
      <c r="A61" s="76" t="n">
        <v>46143</v>
      </c>
      <c r="B61" s="5" t="s">
        <v>20</v>
      </c>
      <c r="C61" s="5" t="n">
        <v>4</v>
      </c>
      <c r="D61" s="5" t="s">
        <v>282</v>
      </c>
      <c r="E61" s="77" t="n">
        <f aca="false">Budget!F18</f>
        <v>672000</v>
      </c>
    </row>
    <row r="62" customFormat="false" ht="15" hidden="false" customHeight="false" outlineLevel="0" collapsed="false">
      <c r="A62" s="76" t="n">
        <v>46143</v>
      </c>
      <c r="B62" s="5" t="s">
        <v>20</v>
      </c>
      <c r="C62" s="5" t="n">
        <v>5</v>
      </c>
      <c r="D62" s="5" t="s">
        <v>282</v>
      </c>
      <c r="E62" s="77" t="n">
        <f aca="false">Budget!F19</f>
        <v>211200</v>
      </c>
    </row>
    <row r="63" customFormat="false" ht="15" hidden="false" customHeight="false" outlineLevel="0" collapsed="false">
      <c r="A63" s="76" t="n">
        <v>46143</v>
      </c>
      <c r="B63" s="5" t="s">
        <v>20</v>
      </c>
      <c r="C63" s="5" t="n">
        <v>6</v>
      </c>
      <c r="D63" s="5" t="s">
        <v>282</v>
      </c>
      <c r="E63" s="77" t="n">
        <f aca="false">Budget!F20</f>
        <v>82944</v>
      </c>
    </row>
    <row r="64" customFormat="false" ht="15" hidden="false" customHeight="false" outlineLevel="0" collapsed="false">
      <c r="A64" s="76" t="n">
        <v>46143</v>
      </c>
      <c r="B64" s="5" t="s">
        <v>20</v>
      </c>
      <c r="C64" s="5" t="n">
        <v>7</v>
      </c>
      <c r="D64" s="5" t="s">
        <v>282</v>
      </c>
      <c r="E64" s="77" t="n">
        <f aca="false">Budget!F26</f>
        <v>293550</v>
      </c>
    </row>
    <row r="65" customFormat="false" ht="15" hidden="false" customHeight="false" outlineLevel="0" collapsed="false">
      <c r="A65" s="76" t="n">
        <v>46143</v>
      </c>
      <c r="B65" s="5" t="s">
        <v>20</v>
      </c>
      <c r="C65" s="5" t="n">
        <v>8</v>
      </c>
      <c r="D65" s="5" t="s">
        <v>282</v>
      </c>
      <c r="E65" s="77" t="n">
        <f aca="false">Budget!F27</f>
        <v>165888</v>
      </c>
    </row>
    <row r="66" customFormat="false" ht="15" hidden="false" customHeight="false" outlineLevel="0" collapsed="false">
      <c r="A66" s="76" t="n">
        <v>46143</v>
      </c>
      <c r="B66" s="5" t="s">
        <v>20</v>
      </c>
      <c r="C66" s="5" t="n">
        <v>9</v>
      </c>
      <c r="D66" s="5" t="s">
        <v>282</v>
      </c>
      <c r="E66" s="77" t="n">
        <f aca="false">Budget!F28</f>
        <v>62000</v>
      </c>
    </row>
    <row r="67" customFormat="false" ht="15" hidden="false" customHeight="false" outlineLevel="0" collapsed="false">
      <c r="A67" s="76" t="n">
        <v>46143</v>
      </c>
      <c r="B67" s="5" t="s">
        <v>20</v>
      </c>
      <c r="C67" s="5" t="n">
        <v>10</v>
      </c>
      <c r="D67" s="5" t="s">
        <v>282</v>
      </c>
      <c r="E67" s="77" t="n">
        <f aca="false">Budget!F29</f>
        <v>38000</v>
      </c>
    </row>
    <row r="68" customFormat="false" ht="15" hidden="false" customHeight="false" outlineLevel="0" collapsed="false">
      <c r="A68" s="76" t="n">
        <v>46143</v>
      </c>
      <c r="B68" s="5" t="s">
        <v>20</v>
      </c>
      <c r="C68" s="5" t="n">
        <v>11</v>
      </c>
      <c r="D68" s="5" t="s">
        <v>282</v>
      </c>
      <c r="E68" s="77" t="n">
        <f aca="false">Budget!F30</f>
        <v>22000</v>
      </c>
    </row>
    <row r="69" customFormat="false" ht="15" hidden="false" customHeight="false" outlineLevel="0" collapsed="false">
      <c r="A69" s="76" t="n">
        <v>46143</v>
      </c>
      <c r="B69" s="5" t="s">
        <v>20</v>
      </c>
      <c r="C69" s="5" t="n">
        <v>12</v>
      </c>
      <c r="D69" s="5" t="s">
        <v>282</v>
      </c>
      <c r="E69" s="77" t="n">
        <f aca="false">Budget!F31</f>
        <v>15000</v>
      </c>
    </row>
    <row r="70" customFormat="false" ht="15" hidden="false" customHeight="false" outlineLevel="0" collapsed="false">
      <c r="A70" s="76" t="n">
        <v>46143</v>
      </c>
      <c r="B70" s="5" t="s">
        <v>20</v>
      </c>
      <c r="C70" s="5" t="n">
        <v>13</v>
      </c>
      <c r="D70" s="5" t="s">
        <v>282</v>
      </c>
      <c r="E70" s="77" t="n">
        <f aca="false">Budget!F32</f>
        <v>12000</v>
      </c>
    </row>
    <row r="71" customFormat="false" ht="15" hidden="false" customHeight="false" outlineLevel="0" collapsed="false">
      <c r="A71" s="76" t="n">
        <v>46143</v>
      </c>
      <c r="B71" s="5" t="s">
        <v>20</v>
      </c>
      <c r="C71" s="5" t="n">
        <v>14</v>
      </c>
      <c r="D71" s="5" t="s">
        <v>282</v>
      </c>
      <c r="E71" s="77" t="n">
        <f aca="false">Budget!F33</f>
        <v>18000</v>
      </c>
    </row>
    <row r="72" customFormat="false" ht="15" hidden="false" customHeight="false" outlineLevel="0" collapsed="false">
      <c r="A72" s="76" t="n">
        <v>46174</v>
      </c>
      <c r="B72" s="5" t="s">
        <v>20</v>
      </c>
      <c r="C72" s="5" t="n">
        <v>1</v>
      </c>
      <c r="D72" s="5" t="s">
        <v>66</v>
      </c>
      <c r="E72" s="77" t="n">
        <f aca="false">Budget!G12</f>
        <v>648000</v>
      </c>
    </row>
    <row r="73" customFormat="false" ht="15" hidden="false" customHeight="false" outlineLevel="0" collapsed="false">
      <c r="A73" s="76" t="n">
        <v>46174</v>
      </c>
      <c r="B73" s="5" t="s">
        <v>20</v>
      </c>
      <c r="C73" s="5" t="n">
        <v>2</v>
      </c>
      <c r="D73" s="5" t="s">
        <v>67</v>
      </c>
      <c r="E73" s="77" t="n">
        <f aca="false">Budget!G13</f>
        <v>585000</v>
      </c>
    </row>
    <row r="74" customFormat="false" ht="15" hidden="false" customHeight="false" outlineLevel="0" collapsed="false">
      <c r="A74" s="76" t="n">
        <v>46174</v>
      </c>
      <c r="B74" s="5" t="s">
        <v>20</v>
      </c>
      <c r="C74" s="5" t="n">
        <v>3</v>
      </c>
      <c r="D74" s="5" t="s">
        <v>68</v>
      </c>
      <c r="E74" s="77" t="n">
        <f aca="false">Budget!G14</f>
        <v>495000</v>
      </c>
    </row>
    <row r="75" customFormat="false" ht="15" hidden="false" customHeight="false" outlineLevel="0" collapsed="false">
      <c r="A75" s="76" t="n">
        <v>46174</v>
      </c>
      <c r="B75" s="5" t="s">
        <v>20</v>
      </c>
      <c r="C75" s="5" t="n">
        <v>4</v>
      </c>
      <c r="D75" s="5" t="s">
        <v>282</v>
      </c>
      <c r="E75" s="77" t="n">
        <f aca="false">Budget!G18</f>
        <v>630000</v>
      </c>
    </row>
    <row r="76" customFormat="false" ht="15" hidden="false" customHeight="false" outlineLevel="0" collapsed="false">
      <c r="A76" s="76" t="n">
        <v>46174</v>
      </c>
      <c r="B76" s="5" t="s">
        <v>20</v>
      </c>
      <c r="C76" s="5" t="n">
        <v>5</v>
      </c>
      <c r="D76" s="5" t="s">
        <v>282</v>
      </c>
      <c r="E76" s="77" t="n">
        <f aca="false">Budget!G19</f>
        <v>198000</v>
      </c>
    </row>
    <row r="77" customFormat="false" ht="15" hidden="false" customHeight="false" outlineLevel="0" collapsed="false">
      <c r="A77" s="76" t="n">
        <v>46174</v>
      </c>
      <c r="B77" s="5" t="s">
        <v>20</v>
      </c>
      <c r="C77" s="5" t="n">
        <v>6</v>
      </c>
      <c r="D77" s="5" t="s">
        <v>282</v>
      </c>
      <c r="E77" s="77" t="n">
        <f aca="false">Budget!G20</f>
        <v>77760</v>
      </c>
    </row>
    <row r="78" customFormat="false" ht="15" hidden="false" customHeight="false" outlineLevel="0" collapsed="false">
      <c r="A78" s="76" t="n">
        <v>46174</v>
      </c>
      <c r="B78" s="5" t="s">
        <v>20</v>
      </c>
      <c r="C78" s="5" t="n">
        <v>7</v>
      </c>
      <c r="D78" s="5" t="s">
        <v>282</v>
      </c>
      <c r="E78" s="77" t="n">
        <f aca="false">Budget!G26</f>
        <v>293550</v>
      </c>
    </row>
    <row r="79" customFormat="false" ht="15" hidden="false" customHeight="false" outlineLevel="0" collapsed="false">
      <c r="A79" s="76" t="n">
        <v>46174</v>
      </c>
      <c r="B79" s="5" t="s">
        <v>20</v>
      </c>
      <c r="C79" s="5" t="n">
        <v>8</v>
      </c>
      <c r="D79" s="5" t="s">
        <v>282</v>
      </c>
      <c r="E79" s="77" t="n">
        <f aca="false">Budget!G27</f>
        <v>155520</v>
      </c>
    </row>
    <row r="80" customFormat="false" ht="15" hidden="false" customHeight="false" outlineLevel="0" collapsed="false">
      <c r="A80" s="76" t="n">
        <v>46174</v>
      </c>
      <c r="B80" s="5" t="s">
        <v>20</v>
      </c>
      <c r="C80" s="5" t="n">
        <v>9</v>
      </c>
      <c r="D80" s="5" t="s">
        <v>282</v>
      </c>
      <c r="E80" s="77" t="n">
        <f aca="false">Budget!G28</f>
        <v>62000</v>
      </c>
    </row>
    <row r="81" customFormat="false" ht="15" hidden="false" customHeight="false" outlineLevel="0" collapsed="false">
      <c r="A81" s="76" t="n">
        <v>46174</v>
      </c>
      <c r="B81" s="5" t="s">
        <v>20</v>
      </c>
      <c r="C81" s="5" t="n">
        <v>10</v>
      </c>
      <c r="D81" s="5" t="s">
        <v>282</v>
      </c>
      <c r="E81" s="77" t="n">
        <f aca="false">Budget!G29</f>
        <v>38000</v>
      </c>
    </row>
    <row r="82" customFormat="false" ht="15" hidden="false" customHeight="false" outlineLevel="0" collapsed="false">
      <c r="A82" s="76" t="n">
        <v>46174</v>
      </c>
      <c r="B82" s="5" t="s">
        <v>20</v>
      </c>
      <c r="C82" s="5" t="n">
        <v>11</v>
      </c>
      <c r="D82" s="5" t="s">
        <v>282</v>
      </c>
      <c r="E82" s="77" t="n">
        <f aca="false">Budget!G30</f>
        <v>22000</v>
      </c>
    </row>
    <row r="83" customFormat="false" ht="15" hidden="false" customHeight="false" outlineLevel="0" collapsed="false">
      <c r="A83" s="76" t="n">
        <v>46174</v>
      </c>
      <c r="B83" s="5" t="s">
        <v>20</v>
      </c>
      <c r="C83" s="5" t="n">
        <v>12</v>
      </c>
      <c r="D83" s="5" t="s">
        <v>282</v>
      </c>
      <c r="E83" s="77" t="n">
        <f aca="false">Budget!G31</f>
        <v>15000</v>
      </c>
    </row>
    <row r="84" customFormat="false" ht="15" hidden="false" customHeight="false" outlineLevel="0" collapsed="false">
      <c r="A84" s="76" t="n">
        <v>46174</v>
      </c>
      <c r="B84" s="5" t="s">
        <v>20</v>
      </c>
      <c r="C84" s="5" t="n">
        <v>13</v>
      </c>
      <c r="D84" s="5" t="s">
        <v>282</v>
      </c>
      <c r="E84" s="77" t="n">
        <f aca="false">Budget!G32</f>
        <v>12000</v>
      </c>
    </row>
    <row r="85" customFormat="false" ht="15" hidden="false" customHeight="false" outlineLevel="0" collapsed="false">
      <c r="A85" s="76" t="n">
        <v>46174</v>
      </c>
      <c r="B85" s="5" t="s">
        <v>20</v>
      </c>
      <c r="C85" s="5" t="n">
        <v>14</v>
      </c>
      <c r="D85" s="5" t="s">
        <v>282</v>
      </c>
      <c r="E85" s="77" t="n">
        <f aca="false">Budget!G33</f>
        <v>18000</v>
      </c>
    </row>
    <row r="86" customFormat="false" ht="15" hidden="false" customHeight="false" outlineLevel="0" collapsed="false">
      <c r="A86" s="76" t="n">
        <v>46204</v>
      </c>
      <c r="B86" s="5" t="s">
        <v>20</v>
      </c>
      <c r="C86" s="5" t="n">
        <v>1</v>
      </c>
      <c r="D86" s="5" t="s">
        <v>66</v>
      </c>
      <c r="E86" s="77" t="n">
        <f aca="false">Budget!H12</f>
        <v>604800</v>
      </c>
    </row>
    <row r="87" customFormat="false" ht="15" hidden="false" customHeight="false" outlineLevel="0" collapsed="false">
      <c r="A87" s="76" t="n">
        <v>46204</v>
      </c>
      <c r="B87" s="5" t="s">
        <v>20</v>
      </c>
      <c r="C87" s="5" t="n">
        <v>2</v>
      </c>
      <c r="D87" s="5" t="s">
        <v>67</v>
      </c>
      <c r="E87" s="77" t="n">
        <f aca="false">Budget!H13</f>
        <v>546000</v>
      </c>
    </row>
    <row r="88" customFormat="false" ht="15" hidden="false" customHeight="false" outlineLevel="0" collapsed="false">
      <c r="A88" s="76" t="n">
        <v>46204</v>
      </c>
      <c r="B88" s="5" t="s">
        <v>20</v>
      </c>
      <c r="C88" s="5" t="n">
        <v>3</v>
      </c>
      <c r="D88" s="5" t="s">
        <v>68</v>
      </c>
      <c r="E88" s="77" t="n">
        <f aca="false">Budget!H14</f>
        <v>462000</v>
      </c>
    </row>
    <row r="89" customFormat="false" ht="15" hidden="false" customHeight="false" outlineLevel="0" collapsed="false">
      <c r="A89" s="76" t="n">
        <v>46204</v>
      </c>
      <c r="B89" s="5" t="s">
        <v>20</v>
      </c>
      <c r="C89" s="5" t="n">
        <v>4</v>
      </c>
      <c r="D89" s="5" t="s">
        <v>282</v>
      </c>
      <c r="E89" s="77" t="n">
        <f aca="false">Budget!H18</f>
        <v>588000</v>
      </c>
    </row>
    <row r="90" customFormat="false" ht="15" hidden="false" customHeight="false" outlineLevel="0" collapsed="false">
      <c r="A90" s="76" t="n">
        <v>46204</v>
      </c>
      <c r="B90" s="5" t="s">
        <v>20</v>
      </c>
      <c r="C90" s="5" t="n">
        <v>5</v>
      </c>
      <c r="D90" s="5" t="s">
        <v>282</v>
      </c>
      <c r="E90" s="77" t="n">
        <f aca="false">Budget!H19</f>
        <v>184800</v>
      </c>
    </row>
    <row r="91" customFormat="false" ht="15" hidden="false" customHeight="false" outlineLevel="0" collapsed="false">
      <c r="A91" s="76" t="n">
        <v>46204</v>
      </c>
      <c r="B91" s="5" t="s">
        <v>20</v>
      </c>
      <c r="C91" s="5" t="n">
        <v>6</v>
      </c>
      <c r="D91" s="5" t="s">
        <v>282</v>
      </c>
      <c r="E91" s="77" t="n">
        <f aca="false">Budget!H20</f>
        <v>72576</v>
      </c>
    </row>
    <row r="92" customFormat="false" ht="15" hidden="false" customHeight="false" outlineLevel="0" collapsed="false">
      <c r="A92" s="76" t="n">
        <v>46204</v>
      </c>
      <c r="B92" s="5" t="s">
        <v>20</v>
      </c>
      <c r="C92" s="5" t="n">
        <v>7</v>
      </c>
      <c r="D92" s="5" t="s">
        <v>282</v>
      </c>
      <c r="E92" s="77" t="n">
        <f aca="false">Budget!H26</f>
        <v>293550</v>
      </c>
    </row>
    <row r="93" customFormat="false" ht="15" hidden="false" customHeight="false" outlineLevel="0" collapsed="false">
      <c r="A93" s="76" t="n">
        <v>46204</v>
      </c>
      <c r="B93" s="5" t="s">
        <v>20</v>
      </c>
      <c r="C93" s="5" t="n">
        <v>8</v>
      </c>
      <c r="D93" s="5" t="s">
        <v>282</v>
      </c>
      <c r="E93" s="77" t="n">
        <f aca="false">Budget!H27</f>
        <v>145152</v>
      </c>
    </row>
    <row r="94" customFormat="false" ht="15" hidden="false" customHeight="false" outlineLevel="0" collapsed="false">
      <c r="A94" s="76" t="n">
        <v>46204</v>
      </c>
      <c r="B94" s="5" t="s">
        <v>20</v>
      </c>
      <c r="C94" s="5" t="n">
        <v>9</v>
      </c>
      <c r="D94" s="5" t="s">
        <v>282</v>
      </c>
      <c r="E94" s="77" t="n">
        <f aca="false">Budget!H28</f>
        <v>62000</v>
      </c>
    </row>
    <row r="95" customFormat="false" ht="15" hidden="false" customHeight="false" outlineLevel="0" collapsed="false">
      <c r="A95" s="76" t="n">
        <v>46204</v>
      </c>
      <c r="B95" s="5" t="s">
        <v>20</v>
      </c>
      <c r="C95" s="5" t="n">
        <v>10</v>
      </c>
      <c r="D95" s="5" t="s">
        <v>282</v>
      </c>
      <c r="E95" s="77" t="n">
        <f aca="false">Budget!H29</f>
        <v>38000</v>
      </c>
    </row>
    <row r="96" customFormat="false" ht="15" hidden="false" customHeight="false" outlineLevel="0" collapsed="false">
      <c r="A96" s="76" t="n">
        <v>46204</v>
      </c>
      <c r="B96" s="5" t="s">
        <v>20</v>
      </c>
      <c r="C96" s="5" t="n">
        <v>11</v>
      </c>
      <c r="D96" s="5" t="s">
        <v>282</v>
      </c>
      <c r="E96" s="77" t="n">
        <f aca="false">Budget!H30</f>
        <v>22000</v>
      </c>
    </row>
    <row r="97" customFormat="false" ht="15" hidden="false" customHeight="false" outlineLevel="0" collapsed="false">
      <c r="A97" s="76" t="n">
        <v>46204</v>
      </c>
      <c r="B97" s="5" t="s">
        <v>20</v>
      </c>
      <c r="C97" s="5" t="n">
        <v>12</v>
      </c>
      <c r="D97" s="5" t="s">
        <v>282</v>
      </c>
      <c r="E97" s="77" t="n">
        <f aca="false">Budget!H31</f>
        <v>15000</v>
      </c>
    </row>
    <row r="98" customFormat="false" ht="15" hidden="false" customHeight="false" outlineLevel="0" collapsed="false">
      <c r="A98" s="76" t="n">
        <v>46204</v>
      </c>
      <c r="B98" s="5" t="s">
        <v>20</v>
      </c>
      <c r="C98" s="5" t="n">
        <v>13</v>
      </c>
      <c r="D98" s="5" t="s">
        <v>282</v>
      </c>
      <c r="E98" s="77" t="n">
        <f aca="false">Budget!H32</f>
        <v>12000</v>
      </c>
    </row>
    <row r="99" customFormat="false" ht="15" hidden="false" customHeight="false" outlineLevel="0" collapsed="false">
      <c r="A99" s="76" t="n">
        <v>46204</v>
      </c>
      <c r="B99" s="5" t="s">
        <v>20</v>
      </c>
      <c r="C99" s="5" t="n">
        <v>14</v>
      </c>
      <c r="D99" s="5" t="s">
        <v>282</v>
      </c>
      <c r="E99" s="77" t="n">
        <f aca="false">Budget!H33</f>
        <v>18000</v>
      </c>
    </row>
    <row r="100" customFormat="false" ht="15" hidden="false" customHeight="false" outlineLevel="0" collapsed="false">
      <c r="A100" s="76" t="n">
        <v>46235</v>
      </c>
      <c r="B100" s="5" t="s">
        <v>20</v>
      </c>
      <c r="C100" s="5" t="n">
        <v>1</v>
      </c>
      <c r="D100" s="5" t="s">
        <v>66</v>
      </c>
      <c r="E100" s="77" t="n">
        <f aca="false">Budget!I12</f>
        <v>648000</v>
      </c>
    </row>
    <row r="101" customFormat="false" ht="15" hidden="false" customHeight="false" outlineLevel="0" collapsed="false">
      <c r="A101" s="76" t="n">
        <v>46235</v>
      </c>
      <c r="B101" s="5" t="s">
        <v>20</v>
      </c>
      <c r="C101" s="5" t="n">
        <v>2</v>
      </c>
      <c r="D101" s="5" t="s">
        <v>67</v>
      </c>
      <c r="E101" s="77" t="n">
        <f aca="false">Budget!I13</f>
        <v>585000</v>
      </c>
    </row>
    <row r="102" customFormat="false" ht="15" hidden="false" customHeight="false" outlineLevel="0" collapsed="false">
      <c r="A102" s="76" t="n">
        <v>46235</v>
      </c>
      <c r="B102" s="5" t="s">
        <v>20</v>
      </c>
      <c r="C102" s="5" t="n">
        <v>3</v>
      </c>
      <c r="D102" s="5" t="s">
        <v>68</v>
      </c>
      <c r="E102" s="77" t="n">
        <f aca="false">Budget!I14</f>
        <v>495000</v>
      </c>
    </row>
    <row r="103" customFormat="false" ht="15" hidden="false" customHeight="false" outlineLevel="0" collapsed="false">
      <c r="A103" s="76" t="n">
        <v>46235</v>
      </c>
      <c r="B103" s="5" t="s">
        <v>20</v>
      </c>
      <c r="C103" s="5" t="n">
        <v>4</v>
      </c>
      <c r="D103" s="5" t="s">
        <v>282</v>
      </c>
      <c r="E103" s="77" t="n">
        <f aca="false">Budget!I18</f>
        <v>630000</v>
      </c>
    </row>
    <row r="104" customFormat="false" ht="15" hidden="false" customHeight="false" outlineLevel="0" collapsed="false">
      <c r="A104" s="76" t="n">
        <v>46235</v>
      </c>
      <c r="B104" s="5" t="s">
        <v>20</v>
      </c>
      <c r="C104" s="5" t="n">
        <v>5</v>
      </c>
      <c r="D104" s="5" t="s">
        <v>282</v>
      </c>
      <c r="E104" s="77" t="n">
        <f aca="false">Budget!I19</f>
        <v>198000</v>
      </c>
    </row>
    <row r="105" customFormat="false" ht="15" hidden="false" customHeight="false" outlineLevel="0" collapsed="false">
      <c r="A105" s="76" t="n">
        <v>46235</v>
      </c>
      <c r="B105" s="5" t="s">
        <v>20</v>
      </c>
      <c r="C105" s="5" t="n">
        <v>6</v>
      </c>
      <c r="D105" s="5" t="s">
        <v>282</v>
      </c>
      <c r="E105" s="77" t="n">
        <f aca="false">Budget!I20</f>
        <v>77760</v>
      </c>
    </row>
    <row r="106" customFormat="false" ht="15" hidden="false" customHeight="false" outlineLevel="0" collapsed="false">
      <c r="A106" s="76" t="n">
        <v>46235</v>
      </c>
      <c r="B106" s="5" t="s">
        <v>20</v>
      </c>
      <c r="C106" s="5" t="n">
        <v>7</v>
      </c>
      <c r="D106" s="5" t="s">
        <v>282</v>
      </c>
      <c r="E106" s="77" t="n">
        <f aca="false">Budget!I26</f>
        <v>293550</v>
      </c>
    </row>
    <row r="107" customFormat="false" ht="15" hidden="false" customHeight="false" outlineLevel="0" collapsed="false">
      <c r="A107" s="76" t="n">
        <v>46235</v>
      </c>
      <c r="B107" s="5" t="s">
        <v>20</v>
      </c>
      <c r="C107" s="5" t="n">
        <v>8</v>
      </c>
      <c r="D107" s="5" t="s">
        <v>282</v>
      </c>
      <c r="E107" s="77" t="n">
        <f aca="false">Budget!I27</f>
        <v>155520</v>
      </c>
    </row>
    <row r="108" customFormat="false" ht="15" hidden="false" customHeight="false" outlineLevel="0" collapsed="false">
      <c r="A108" s="76" t="n">
        <v>46235</v>
      </c>
      <c r="B108" s="5" t="s">
        <v>20</v>
      </c>
      <c r="C108" s="5" t="n">
        <v>9</v>
      </c>
      <c r="D108" s="5" t="s">
        <v>282</v>
      </c>
      <c r="E108" s="77" t="n">
        <f aca="false">Budget!I28</f>
        <v>62000</v>
      </c>
    </row>
    <row r="109" customFormat="false" ht="15" hidden="false" customHeight="false" outlineLevel="0" collapsed="false">
      <c r="A109" s="76" t="n">
        <v>46235</v>
      </c>
      <c r="B109" s="5" t="s">
        <v>20</v>
      </c>
      <c r="C109" s="5" t="n">
        <v>10</v>
      </c>
      <c r="D109" s="5" t="s">
        <v>282</v>
      </c>
      <c r="E109" s="77" t="n">
        <f aca="false">Budget!I29</f>
        <v>38000</v>
      </c>
    </row>
    <row r="110" customFormat="false" ht="15" hidden="false" customHeight="false" outlineLevel="0" collapsed="false">
      <c r="A110" s="76" t="n">
        <v>46235</v>
      </c>
      <c r="B110" s="5" t="s">
        <v>20</v>
      </c>
      <c r="C110" s="5" t="n">
        <v>11</v>
      </c>
      <c r="D110" s="5" t="s">
        <v>282</v>
      </c>
      <c r="E110" s="77" t="n">
        <f aca="false">Budget!I30</f>
        <v>22000</v>
      </c>
    </row>
    <row r="111" customFormat="false" ht="15" hidden="false" customHeight="false" outlineLevel="0" collapsed="false">
      <c r="A111" s="76" t="n">
        <v>46235</v>
      </c>
      <c r="B111" s="5" t="s">
        <v>20</v>
      </c>
      <c r="C111" s="5" t="n">
        <v>12</v>
      </c>
      <c r="D111" s="5" t="s">
        <v>282</v>
      </c>
      <c r="E111" s="77" t="n">
        <f aca="false">Budget!I31</f>
        <v>15000</v>
      </c>
    </row>
    <row r="112" customFormat="false" ht="15" hidden="false" customHeight="false" outlineLevel="0" collapsed="false">
      <c r="A112" s="76" t="n">
        <v>46235</v>
      </c>
      <c r="B112" s="5" t="s">
        <v>20</v>
      </c>
      <c r="C112" s="5" t="n">
        <v>13</v>
      </c>
      <c r="D112" s="5" t="s">
        <v>282</v>
      </c>
      <c r="E112" s="77" t="n">
        <f aca="false">Budget!I32</f>
        <v>12000</v>
      </c>
    </row>
    <row r="113" customFormat="false" ht="15" hidden="false" customHeight="false" outlineLevel="0" collapsed="false">
      <c r="A113" s="76" t="n">
        <v>46235</v>
      </c>
      <c r="B113" s="5" t="s">
        <v>20</v>
      </c>
      <c r="C113" s="5" t="n">
        <v>14</v>
      </c>
      <c r="D113" s="5" t="s">
        <v>282</v>
      </c>
      <c r="E113" s="77" t="n">
        <f aca="false">Budget!I33</f>
        <v>18000</v>
      </c>
    </row>
    <row r="114" customFormat="false" ht="15" hidden="false" customHeight="false" outlineLevel="0" collapsed="false">
      <c r="A114" s="76" t="n">
        <v>46266</v>
      </c>
      <c r="B114" s="5" t="s">
        <v>20</v>
      </c>
      <c r="C114" s="5" t="n">
        <v>1</v>
      </c>
      <c r="D114" s="5" t="s">
        <v>66</v>
      </c>
      <c r="E114" s="77" t="n">
        <f aca="false">Budget!J12</f>
        <v>734400</v>
      </c>
    </row>
    <row r="115" customFormat="false" ht="15" hidden="false" customHeight="false" outlineLevel="0" collapsed="false">
      <c r="A115" s="76" t="n">
        <v>46266</v>
      </c>
      <c r="B115" s="5" t="s">
        <v>20</v>
      </c>
      <c r="C115" s="5" t="n">
        <v>2</v>
      </c>
      <c r="D115" s="5" t="s">
        <v>67</v>
      </c>
      <c r="E115" s="77" t="n">
        <f aca="false">Budget!J13</f>
        <v>663000</v>
      </c>
    </row>
    <row r="116" customFormat="false" ht="15" hidden="false" customHeight="false" outlineLevel="0" collapsed="false">
      <c r="A116" s="76" t="n">
        <v>46266</v>
      </c>
      <c r="B116" s="5" t="s">
        <v>20</v>
      </c>
      <c r="C116" s="5" t="n">
        <v>3</v>
      </c>
      <c r="D116" s="5" t="s">
        <v>68</v>
      </c>
      <c r="E116" s="77" t="n">
        <f aca="false">Budget!J14</f>
        <v>561000</v>
      </c>
    </row>
    <row r="117" customFormat="false" ht="15" hidden="false" customHeight="false" outlineLevel="0" collapsed="false">
      <c r="A117" s="76" t="n">
        <v>46266</v>
      </c>
      <c r="B117" s="5" t="s">
        <v>20</v>
      </c>
      <c r="C117" s="5" t="n">
        <v>4</v>
      </c>
      <c r="D117" s="5" t="s">
        <v>282</v>
      </c>
      <c r="E117" s="77" t="n">
        <f aca="false">Budget!J18</f>
        <v>714000</v>
      </c>
    </row>
    <row r="118" customFormat="false" ht="15" hidden="false" customHeight="false" outlineLevel="0" collapsed="false">
      <c r="A118" s="76" t="n">
        <v>46266</v>
      </c>
      <c r="B118" s="5" t="s">
        <v>20</v>
      </c>
      <c r="C118" s="5" t="n">
        <v>5</v>
      </c>
      <c r="D118" s="5" t="s">
        <v>282</v>
      </c>
      <c r="E118" s="77" t="n">
        <f aca="false">Budget!J19</f>
        <v>224400</v>
      </c>
    </row>
    <row r="119" customFormat="false" ht="15" hidden="false" customHeight="false" outlineLevel="0" collapsed="false">
      <c r="A119" s="76" t="n">
        <v>46266</v>
      </c>
      <c r="B119" s="5" t="s">
        <v>20</v>
      </c>
      <c r="C119" s="5" t="n">
        <v>6</v>
      </c>
      <c r="D119" s="5" t="s">
        <v>282</v>
      </c>
      <c r="E119" s="77" t="n">
        <f aca="false">Budget!J20</f>
        <v>88128</v>
      </c>
    </row>
    <row r="120" customFormat="false" ht="15" hidden="false" customHeight="false" outlineLevel="0" collapsed="false">
      <c r="A120" s="76" t="n">
        <v>46266</v>
      </c>
      <c r="B120" s="5" t="s">
        <v>20</v>
      </c>
      <c r="C120" s="5" t="n">
        <v>7</v>
      </c>
      <c r="D120" s="5" t="s">
        <v>282</v>
      </c>
      <c r="E120" s="77" t="n">
        <f aca="false">Budget!J26</f>
        <v>293550</v>
      </c>
    </row>
    <row r="121" customFormat="false" ht="15" hidden="false" customHeight="false" outlineLevel="0" collapsed="false">
      <c r="A121" s="76" t="n">
        <v>46266</v>
      </c>
      <c r="B121" s="5" t="s">
        <v>20</v>
      </c>
      <c r="C121" s="5" t="n">
        <v>8</v>
      </c>
      <c r="D121" s="5" t="s">
        <v>282</v>
      </c>
      <c r="E121" s="77" t="n">
        <f aca="false">Budget!J27</f>
        <v>176256</v>
      </c>
    </row>
    <row r="122" customFormat="false" ht="15" hidden="false" customHeight="false" outlineLevel="0" collapsed="false">
      <c r="A122" s="76" t="n">
        <v>46266</v>
      </c>
      <c r="B122" s="5" t="s">
        <v>20</v>
      </c>
      <c r="C122" s="5" t="n">
        <v>9</v>
      </c>
      <c r="D122" s="5" t="s">
        <v>282</v>
      </c>
      <c r="E122" s="77" t="n">
        <f aca="false">Budget!J28</f>
        <v>62000</v>
      </c>
    </row>
    <row r="123" customFormat="false" ht="15" hidden="false" customHeight="false" outlineLevel="0" collapsed="false">
      <c r="A123" s="76" t="n">
        <v>46266</v>
      </c>
      <c r="B123" s="5" t="s">
        <v>20</v>
      </c>
      <c r="C123" s="5" t="n">
        <v>10</v>
      </c>
      <c r="D123" s="5" t="s">
        <v>282</v>
      </c>
      <c r="E123" s="77" t="n">
        <f aca="false">Budget!J29</f>
        <v>38000</v>
      </c>
    </row>
    <row r="124" customFormat="false" ht="15" hidden="false" customHeight="false" outlineLevel="0" collapsed="false">
      <c r="A124" s="76" t="n">
        <v>46266</v>
      </c>
      <c r="B124" s="5" t="s">
        <v>20</v>
      </c>
      <c r="C124" s="5" t="n">
        <v>11</v>
      </c>
      <c r="D124" s="5" t="s">
        <v>282</v>
      </c>
      <c r="E124" s="77" t="n">
        <f aca="false">Budget!J30</f>
        <v>22000</v>
      </c>
    </row>
    <row r="125" customFormat="false" ht="15" hidden="false" customHeight="false" outlineLevel="0" collapsed="false">
      <c r="A125" s="76" t="n">
        <v>46266</v>
      </c>
      <c r="B125" s="5" t="s">
        <v>20</v>
      </c>
      <c r="C125" s="5" t="n">
        <v>12</v>
      </c>
      <c r="D125" s="5" t="s">
        <v>282</v>
      </c>
      <c r="E125" s="77" t="n">
        <f aca="false">Budget!J31</f>
        <v>15000</v>
      </c>
    </row>
    <row r="126" customFormat="false" ht="15" hidden="false" customHeight="false" outlineLevel="0" collapsed="false">
      <c r="A126" s="76" t="n">
        <v>46266</v>
      </c>
      <c r="B126" s="5" t="s">
        <v>20</v>
      </c>
      <c r="C126" s="5" t="n">
        <v>13</v>
      </c>
      <c r="D126" s="5" t="s">
        <v>282</v>
      </c>
      <c r="E126" s="77" t="n">
        <f aca="false">Budget!J32</f>
        <v>12000</v>
      </c>
    </row>
    <row r="127" customFormat="false" ht="15" hidden="false" customHeight="false" outlineLevel="0" collapsed="false">
      <c r="A127" s="76" t="n">
        <v>46266</v>
      </c>
      <c r="B127" s="5" t="s">
        <v>20</v>
      </c>
      <c r="C127" s="5" t="n">
        <v>14</v>
      </c>
      <c r="D127" s="5" t="s">
        <v>282</v>
      </c>
      <c r="E127" s="77" t="n">
        <f aca="false">Budget!J33</f>
        <v>18000</v>
      </c>
    </row>
    <row r="128" customFormat="false" ht="15" hidden="false" customHeight="false" outlineLevel="0" collapsed="false">
      <c r="A128" s="76" t="n">
        <v>46296</v>
      </c>
      <c r="B128" s="5" t="s">
        <v>20</v>
      </c>
      <c r="C128" s="5" t="n">
        <v>1</v>
      </c>
      <c r="D128" s="5" t="s">
        <v>66</v>
      </c>
      <c r="E128" s="77" t="n">
        <f aca="false">Budget!K12</f>
        <v>820800</v>
      </c>
    </row>
    <row r="129" customFormat="false" ht="15" hidden="false" customHeight="false" outlineLevel="0" collapsed="false">
      <c r="A129" s="76" t="n">
        <v>46296</v>
      </c>
      <c r="B129" s="5" t="s">
        <v>20</v>
      </c>
      <c r="C129" s="5" t="n">
        <v>2</v>
      </c>
      <c r="D129" s="5" t="s">
        <v>67</v>
      </c>
      <c r="E129" s="77" t="n">
        <f aca="false">Budget!K13</f>
        <v>741000</v>
      </c>
    </row>
    <row r="130" customFormat="false" ht="15" hidden="false" customHeight="false" outlineLevel="0" collapsed="false">
      <c r="A130" s="76" t="n">
        <v>46296</v>
      </c>
      <c r="B130" s="5" t="s">
        <v>20</v>
      </c>
      <c r="C130" s="5" t="n">
        <v>3</v>
      </c>
      <c r="D130" s="5" t="s">
        <v>68</v>
      </c>
      <c r="E130" s="77" t="n">
        <f aca="false">Budget!K14</f>
        <v>627000</v>
      </c>
    </row>
    <row r="131" customFormat="false" ht="15" hidden="false" customHeight="false" outlineLevel="0" collapsed="false">
      <c r="A131" s="76" t="n">
        <v>46296</v>
      </c>
      <c r="B131" s="5" t="s">
        <v>20</v>
      </c>
      <c r="C131" s="5" t="n">
        <v>4</v>
      </c>
      <c r="D131" s="5" t="s">
        <v>282</v>
      </c>
      <c r="E131" s="77" t="n">
        <f aca="false">Budget!K18</f>
        <v>798000</v>
      </c>
    </row>
    <row r="132" customFormat="false" ht="15" hidden="false" customHeight="false" outlineLevel="0" collapsed="false">
      <c r="A132" s="76" t="n">
        <v>46296</v>
      </c>
      <c r="B132" s="5" t="s">
        <v>20</v>
      </c>
      <c r="C132" s="5" t="n">
        <v>5</v>
      </c>
      <c r="D132" s="5" t="s">
        <v>282</v>
      </c>
      <c r="E132" s="77" t="n">
        <f aca="false">Budget!K19</f>
        <v>250800</v>
      </c>
    </row>
    <row r="133" customFormat="false" ht="15" hidden="false" customHeight="false" outlineLevel="0" collapsed="false">
      <c r="A133" s="76" t="n">
        <v>46296</v>
      </c>
      <c r="B133" s="5" t="s">
        <v>20</v>
      </c>
      <c r="C133" s="5" t="n">
        <v>6</v>
      </c>
      <c r="D133" s="5" t="s">
        <v>282</v>
      </c>
      <c r="E133" s="77" t="n">
        <f aca="false">Budget!K20</f>
        <v>98496</v>
      </c>
    </row>
    <row r="134" customFormat="false" ht="15" hidden="false" customHeight="false" outlineLevel="0" collapsed="false">
      <c r="A134" s="76" t="n">
        <v>46296</v>
      </c>
      <c r="B134" s="5" t="s">
        <v>20</v>
      </c>
      <c r="C134" s="5" t="n">
        <v>7</v>
      </c>
      <c r="D134" s="5" t="s">
        <v>282</v>
      </c>
      <c r="E134" s="77" t="n">
        <f aca="false">Budget!K26</f>
        <v>293550</v>
      </c>
    </row>
    <row r="135" customFormat="false" ht="15" hidden="false" customHeight="false" outlineLevel="0" collapsed="false">
      <c r="A135" s="76" t="n">
        <v>46296</v>
      </c>
      <c r="B135" s="5" t="s">
        <v>20</v>
      </c>
      <c r="C135" s="5" t="n">
        <v>8</v>
      </c>
      <c r="D135" s="5" t="s">
        <v>282</v>
      </c>
      <c r="E135" s="77" t="n">
        <f aca="false">Budget!K27</f>
        <v>196992</v>
      </c>
    </row>
    <row r="136" customFormat="false" ht="15" hidden="false" customHeight="false" outlineLevel="0" collapsed="false">
      <c r="A136" s="76" t="n">
        <v>46296</v>
      </c>
      <c r="B136" s="5" t="s">
        <v>20</v>
      </c>
      <c r="C136" s="5" t="n">
        <v>9</v>
      </c>
      <c r="D136" s="5" t="s">
        <v>282</v>
      </c>
      <c r="E136" s="77" t="n">
        <f aca="false">Budget!K28</f>
        <v>62000</v>
      </c>
    </row>
    <row r="137" customFormat="false" ht="15" hidden="false" customHeight="false" outlineLevel="0" collapsed="false">
      <c r="A137" s="76" t="n">
        <v>46296</v>
      </c>
      <c r="B137" s="5" t="s">
        <v>20</v>
      </c>
      <c r="C137" s="5" t="n">
        <v>10</v>
      </c>
      <c r="D137" s="5" t="s">
        <v>282</v>
      </c>
      <c r="E137" s="77" t="n">
        <f aca="false">Budget!K29</f>
        <v>38000</v>
      </c>
    </row>
    <row r="138" customFormat="false" ht="15" hidden="false" customHeight="false" outlineLevel="0" collapsed="false">
      <c r="A138" s="76" t="n">
        <v>46296</v>
      </c>
      <c r="B138" s="5" t="s">
        <v>20</v>
      </c>
      <c r="C138" s="5" t="n">
        <v>11</v>
      </c>
      <c r="D138" s="5" t="s">
        <v>282</v>
      </c>
      <c r="E138" s="77" t="n">
        <f aca="false">Budget!K30</f>
        <v>22000</v>
      </c>
    </row>
    <row r="139" customFormat="false" ht="15" hidden="false" customHeight="false" outlineLevel="0" collapsed="false">
      <c r="A139" s="76" t="n">
        <v>46296</v>
      </c>
      <c r="B139" s="5" t="s">
        <v>20</v>
      </c>
      <c r="C139" s="5" t="n">
        <v>12</v>
      </c>
      <c r="D139" s="5" t="s">
        <v>282</v>
      </c>
      <c r="E139" s="77" t="n">
        <f aca="false">Budget!K31</f>
        <v>15000</v>
      </c>
    </row>
    <row r="140" customFormat="false" ht="15" hidden="false" customHeight="false" outlineLevel="0" collapsed="false">
      <c r="A140" s="76" t="n">
        <v>46296</v>
      </c>
      <c r="B140" s="5" t="s">
        <v>20</v>
      </c>
      <c r="C140" s="5" t="n">
        <v>13</v>
      </c>
      <c r="D140" s="5" t="s">
        <v>282</v>
      </c>
      <c r="E140" s="77" t="n">
        <f aca="false">Budget!K32</f>
        <v>12000</v>
      </c>
    </row>
    <row r="141" customFormat="false" ht="15" hidden="false" customHeight="false" outlineLevel="0" collapsed="false">
      <c r="A141" s="76" t="n">
        <v>46296</v>
      </c>
      <c r="B141" s="5" t="s">
        <v>20</v>
      </c>
      <c r="C141" s="5" t="n">
        <v>14</v>
      </c>
      <c r="D141" s="5" t="s">
        <v>282</v>
      </c>
      <c r="E141" s="77" t="n">
        <f aca="false">Budget!K33</f>
        <v>18000</v>
      </c>
    </row>
    <row r="142" customFormat="false" ht="15" hidden="false" customHeight="false" outlineLevel="0" collapsed="false">
      <c r="A142" s="76" t="n">
        <v>46327</v>
      </c>
      <c r="B142" s="5" t="s">
        <v>20</v>
      </c>
      <c r="C142" s="5" t="n">
        <v>1</v>
      </c>
      <c r="D142" s="5" t="s">
        <v>66</v>
      </c>
      <c r="E142" s="77" t="n">
        <f aca="false">Budget!L12</f>
        <v>1080000</v>
      </c>
    </row>
    <row r="143" customFormat="false" ht="15" hidden="false" customHeight="false" outlineLevel="0" collapsed="false">
      <c r="A143" s="76" t="n">
        <v>46327</v>
      </c>
      <c r="B143" s="5" t="s">
        <v>20</v>
      </c>
      <c r="C143" s="5" t="n">
        <v>2</v>
      </c>
      <c r="D143" s="5" t="s">
        <v>67</v>
      </c>
      <c r="E143" s="77" t="n">
        <f aca="false">Budget!L13</f>
        <v>975000</v>
      </c>
    </row>
    <row r="144" customFormat="false" ht="15" hidden="false" customHeight="false" outlineLevel="0" collapsed="false">
      <c r="A144" s="76" t="n">
        <v>46327</v>
      </c>
      <c r="B144" s="5" t="s">
        <v>20</v>
      </c>
      <c r="C144" s="5" t="n">
        <v>3</v>
      </c>
      <c r="D144" s="5" t="s">
        <v>68</v>
      </c>
      <c r="E144" s="77" t="n">
        <f aca="false">Budget!L14</f>
        <v>825000</v>
      </c>
    </row>
    <row r="145" customFormat="false" ht="15" hidden="false" customHeight="false" outlineLevel="0" collapsed="false">
      <c r="A145" s="76" t="n">
        <v>46327</v>
      </c>
      <c r="B145" s="5" t="s">
        <v>20</v>
      </c>
      <c r="C145" s="5" t="n">
        <v>4</v>
      </c>
      <c r="D145" s="5" t="s">
        <v>282</v>
      </c>
      <c r="E145" s="77" t="n">
        <f aca="false">Budget!L18</f>
        <v>1050000</v>
      </c>
    </row>
    <row r="146" customFormat="false" ht="15" hidden="false" customHeight="false" outlineLevel="0" collapsed="false">
      <c r="A146" s="76" t="n">
        <v>46327</v>
      </c>
      <c r="B146" s="5" t="s">
        <v>20</v>
      </c>
      <c r="C146" s="5" t="n">
        <v>5</v>
      </c>
      <c r="D146" s="5" t="s">
        <v>282</v>
      </c>
      <c r="E146" s="77" t="n">
        <f aca="false">Budget!L19</f>
        <v>330000</v>
      </c>
    </row>
    <row r="147" customFormat="false" ht="15" hidden="false" customHeight="false" outlineLevel="0" collapsed="false">
      <c r="A147" s="76" t="n">
        <v>46327</v>
      </c>
      <c r="B147" s="5" t="s">
        <v>20</v>
      </c>
      <c r="C147" s="5" t="n">
        <v>6</v>
      </c>
      <c r="D147" s="5" t="s">
        <v>282</v>
      </c>
      <c r="E147" s="77" t="n">
        <f aca="false">Budget!L20</f>
        <v>129600</v>
      </c>
    </row>
    <row r="148" customFormat="false" ht="15" hidden="false" customHeight="false" outlineLevel="0" collapsed="false">
      <c r="A148" s="76" t="n">
        <v>46327</v>
      </c>
      <c r="B148" s="5" t="s">
        <v>20</v>
      </c>
      <c r="C148" s="5" t="n">
        <v>7</v>
      </c>
      <c r="D148" s="5" t="s">
        <v>282</v>
      </c>
      <c r="E148" s="77" t="n">
        <f aca="false">Budget!L26</f>
        <v>293550</v>
      </c>
    </row>
    <row r="149" customFormat="false" ht="15" hidden="false" customHeight="false" outlineLevel="0" collapsed="false">
      <c r="A149" s="76" t="n">
        <v>46327</v>
      </c>
      <c r="B149" s="5" t="s">
        <v>20</v>
      </c>
      <c r="C149" s="5" t="n">
        <v>8</v>
      </c>
      <c r="D149" s="5" t="s">
        <v>282</v>
      </c>
      <c r="E149" s="77" t="n">
        <f aca="false">Budget!L27</f>
        <v>259200</v>
      </c>
    </row>
    <row r="150" customFormat="false" ht="15" hidden="false" customHeight="false" outlineLevel="0" collapsed="false">
      <c r="A150" s="76" t="n">
        <v>46327</v>
      </c>
      <c r="B150" s="5" t="s">
        <v>20</v>
      </c>
      <c r="C150" s="5" t="n">
        <v>9</v>
      </c>
      <c r="D150" s="5" t="s">
        <v>282</v>
      </c>
      <c r="E150" s="77" t="n">
        <f aca="false">Budget!L28</f>
        <v>62000</v>
      </c>
    </row>
    <row r="151" customFormat="false" ht="15" hidden="false" customHeight="false" outlineLevel="0" collapsed="false">
      <c r="A151" s="76" t="n">
        <v>46327</v>
      </c>
      <c r="B151" s="5" t="s">
        <v>20</v>
      </c>
      <c r="C151" s="5" t="n">
        <v>10</v>
      </c>
      <c r="D151" s="5" t="s">
        <v>282</v>
      </c>
      <c r="E151" s="77" t="n">
        <f aca="false">Budget!L29</f>
        <v>38000</v>
      </c>
    </row>
    <row r="152" customFormat="false" ht="15" hidden="false" customHeight="false" outlineLevel="0" collapsed="false">
      <c r="A152" s="76" t="n">
        <v>46327</v>
      </c>
      <c r="B152" s="5" t="s">
        <v>20</v>
      </c>
      <c r="C152" s="5" t="n">
        <v>11</v>
      </c>
      <c r="D152" s="5" t="s">
        <v>282</v>
      </c>
      <c r="E152" s="77" t="n">
        <f aca="false">Budget!L30</f>
        <v>22000</v>
      </c>
    </row>
    <row r="153" customFormat="false" ht="15" hidden="false" customHeight="false" outlineLevel="0" collapsed="false">
      <c r="A153" s="76" t="n">
        <v>46327</v>
      </c>
      <c r="B153" s="5" t="s">
        <v>20</v>
      </c>
      <c r="C153" s="5" t="n">
        <v>12</v>
      </c>
      <c r="D153" s="5" t="s">
        <v>282</v>
      </c>
      <c r="E153" s="77" t="n">
        <f aca="false">Budget!L31</f>
        <v>15000</v>
      </c>
    </row>
    <row r="154" customFormat="false" ht="15" hidden="false" customHeight="false" outlineLevel="0" collapsed="false">
      <c r="A154" s="76" t="n">
        <v>46327</v>
      </c>
      <c r="B154" s="5" t="s">
        <v>20</v>
      </c>
      <c r="C154" s="5" t="n">
        <v>13</v>
      </c>
      <c r="D154" s="5" t="s">
        <v>282</v>
      </c>
      <c r="E154" s="77" t="n">
        <f aca="false">Budget!L32</f>
        <v>12000</v>
      </c>
    </row>
    <row r="155" customFormat="false" ht="15" hidden="false" customHeight="false" outlineLevel="0" collapsed="false">
      <c r="A155" s="76" t="n">
        <v>46327</v>
      </c>
      <c r="B155" s="5" t="s">
        <v>20</v>
      </c>
      <c r="C155" s="5" t="n">
        <v>14</v>
      </c>
      <c r="D155" s="5" t="s">
        <v>282</v>
      </c>
      <c r="E155" s="77" t="n">
        <f aca="false">Budget!L33</f>
        <v>18000</v>
      </c>
    </row>
    <row r="156" customFormat="false" ht="15" hidden="false" customHeight="false" outlineLevel="0" collapsed="false">
      <c r="A156" s="76" t="n">
        <v>46357</v>
      </c>
      <c r="B156" s="5" t="s">
        <v>20</v>
      </c>
      <c r="C156" s="5" t="n">
        <v>1</v>
      </c>
      <c r="D156" s="5" t="s">
        <v>66</v>
      </c>
      <c r="E156" s="77" t="n">
        <f aca="false">Budget!M12</f>
        <v>993600</v>
      </c>
    </row>
    <row r="157" customFormat="false" ht="15" hidden="false" customHeight="false" outlineLevel="0" collapsed="false">
      <c r="A157" s="76" t="n">
        <v>46357</v>
      </c>
      <c r="B157" s="5" t="s">
        <v>20</v>
      </c>
      <c r="C157" s="5" t="n">
        <v>2</v>
      </c>
      <c r="D157" s="5" t="s">
        <v>67</v>
      </c>
      <c r="E157" s="77" t="n">
        <f aca="false">Budget!M13</f>
        <v>897000</v>
      </c>
    </row>
    <row r="158" customFormat="false" ht="15" hidden="false" customHeight="false" outlineLevel="0" collapsed="false">
      <c r="A158" s="76" t="n">
        <v>46357</v>
      </c>
      <c r="B158" s="5" t="s">
        <v>20</v>
      </c>
      <c r="C158" s="5" t="n">
        <v>3</v>
      </c>
      <c r="D158" s="5" t="s">
        <v>68</v>
      </c>
      <c r="E158" s="77" t="n">
        <f aca="false">Budget!M14</f>
        <v>759000</v>
      </c>
    </row>
    <row r="159" customFormat="false" ht="15" hidden="false" customHeight="false" outlineLevel="0" collapsed="false">
      <c r="A159" s="76" t="n">
        <v>46357</v>
      </c>
      <c r="B159" s="5" t="s">
        <v>20</v>
      </c>
      <c r="C159" s="5" t="n">
        <v>4</v>
      </c>
      <c r="D159" s="5" t="s">
        <v>282</v>
      </c>
      <c r="E159" s="77" t="n">
        <f aca="false">Budget!M18</f>
        <v>966000</v>
      </c>
    </row>
    <row r="160" customFormat="false" ht="15" hidden="false" customHeight="false" outlineLevel="0" collapsed="false">
      <c r="A160" s="76" t="n">
        <v>46357</v>
      </c>
      <c r="B160" s="5" t="s">
        <v>20</v>
      </c>
      <c r="C160" s="5" t="n">
        <v>5</v>
      </c>
      <c r="D160" s="5" t="s">
        <v>282</v>
      </c>
      <c r="E160" s="77" t="n">
        <f aca="false">Budget!M19</f>
        <v>303600</v>
      </c>
    </row>
    <row r="161" customFormat="false" ht="15" hidden="false" customHeight="false" outlineLevel="0" collapsed="false">
      <c r="A161" s="76" t="n">
        <v>46357</v>
      </c>
      <c r="B161" s="5" t="s">
        <v>20</v>
      </c>
      <c r="C161" s="5" t="n">
        <v>6</v>
      </c>
      <c r="D161" s="5" t="s">
        <v>282</v>
      </c>
      <c r="E161" s="77" t="n">
        <f aca="false">Budget!M20</f>
        <v>119232</v>
      </c>
    </row>
    <row r="162" customFormat="false" ht="15" hidden="false" customHeight="false" outlineLevel="0" collapsed="false">
      <c r="A162" s="76" t="n">
        <v>46357</v>
      </c>
      <c r="B162" s="5" t="s">
        <v>20</v>
      </c>
      <c r="C162" s="5" t="n">
        <v>7</v>
      </c>
      <c r="D162" s="5" t="s">
        <v>282</v>
      </c>
      <c r="E162" s="77" t="n">
        <f aca="false">Budget!M26</f>
        <v>293550</v>
      </c>
    </row>
    <row r="163" customFormat="false" ht="15" hidden="false" customHeight="false" outlineLevel="0" collapsed="false">
      <c r="A163" s="76" t="n">
        <v>46357</v>
      </c>
      <c r="B163" s="5" t="s">
        <v>20</v>
      </c>
      <c r="C163" s="5" t="n">
        <v>8</v>
      </c>
      <c r="D163" s="5" t="s">
        <v>282</v>
      </c>
      <c r="E163" s="77" t="n">
        <f aca="false">Budget!M27</f>
        <v>238464</v>
      </c>
    </row>
    <row r="164" customFormat="false" ht="15" hidden="false" customHeight="false" outlineLevel="0" collapsed="false">
      <c r="A164" s="76" t="n">
        <v>46357</v>
      </c>
      <c r="B164" s="5" t="s">
        <v>20</v>
      </c>
      <c r="C164" s="5" t="n">
        <v>9</v>
      </c>
      <c r="D164" s="5" t="s">
        <v>282</v>
      </c>
      <c r="E164" s="77" t="n">
        <f aca="false">Budget!M28</f>
        <v>62000</v>
      </c>
    </row>
    <row r="165" customFormat="false" ht="15" hidden="false" customHeight="false" outlineLevel="0" collapsed="false">
      <c r="A165" s="76" t="n">
        <v>46357</v>
      </c>
      <c r="B165" s="5" t="s">
        <v>20</v>
      </c>
      <c r="C165" s="5" t="n">
        <v>10</v>
      </c>
      <c r="D165" s="5" t="s">
        <v>282</v>
      </c>
      <c r="E165" s="77" t="n">
        <f aca="false">Budget!M29</f>
        <v>38000</v>
      </c>
    </row>
    <row r="166" customFormat="false" ht="15" hidden="false" customHeight="false" outlineLevel="0" collapsed="false">
      <c r="A166" s="76" t="n">
        <v>46357</v>
      </c>
      <c r="B166" s="5" t="s">
        <v>20</v>
      </c>
      <c r="C166" s="5" t="n">
        <v>11</v>
      </c>
      <c r="D166" s="5" t="s">
        <v>282</v>
      </c>
      <c r="E166" s="77" t="n">
        <f aca="false">Budget!M30</f>
        <v>22000</v>
      </c>
    </row>
    <row r="167" customFormat="false" ht="15" hidden="false" customHeight="false" outlineLevel="0" collapsed="false">
      <c r="A167" s="76" t="n">
        <v>46357</v>
      </c>
      <c r="B167" s="5" t="s">
        <v>20</v>
      </c>
      <c r="C167" s="5" t="n">
        <v>12</v>
      </c>
      <c r="D167" s="5" t="s">
        <v>282</v>
      </c>
      <c r="E167" s="77" t="n">
        <f aca="false">Budget!M31</f>
        <v>15000</v>
      </c>
    </row>
    <row r="168" customFormat="false" ht="15" hidden="false" customHeight="false" outlineLevel="0" collapsed="false">
      <c r="A168" s="76" t="n">
        <v>46357</v>
      </c>
      <c r="B168" s="5" t="s">
        <v>20</v>
      </c>
      <c r="C168" s="5" t="n">
        <v>13</v>
      </c>
      <c r="D168" s="5" t="s">
        <v>282</v>
      </c>
      <c r="E168" s="77" t="n">
        <f aca="false">Budget!M32</f>
        <v>12000</v>
      </c>
    </row>
    <row r="169" customFormat="false" ht="15" hidden="false" customHeight="false" outlineLevel="0" collapsed="false">
      <c r="A169" s="76" t="n">
        <v>46357</v>
      </c>
      <c r="B169" s="5" t="s">
        <v>20</v>
      </c>
      <c r="C169" s="5" t="n">
        <v>14</v>
      </c>
      <c r="D169" s="5" t="s">
        <v>282</v>
      </c>
      <c r="E169" s="77" t="n">
        <f aca="false">Budget!M33</f>
        <v>18000</v>
      </c>
    </row>
    <row r="170" customFormat="false" ht="15" hidden="false" customHeight="false" outlineLevel="0" collapsed="false">
      <c r="A170" s="76" t="n">
        <v>46023</v>
      </c>
      <c r="B170" s="5" t="s">
        <v>59</v>
      </c>
      <c r="C170" s="5" t="n">
        <v>1</v>
      </c>
      <c r="D170" s="5" t="s">
        <v>66</v>
      </c>
      <c r="E170" s="77" t="n">
        <f aca="false">Actuals!B12</f>
        <v>567216</v>
      </c>
    </row>
    <row r="171" customFormat="false" ht="15" hidden="false" customHeight="false" outlineLevel="0" collapsed="false">
      <c r="A171" s="76" t="n">
        <v>46023</v>
      </c>
      <c r="B171" s="5" t="s">
        <v>59</v>
      </c>
      <c r="C171" s="5" t="n">
        <v>2</v>
      </c>
      <c r="D171" s="5" t="s">
        <v>67</v>
      </c>
      <c r="E171" s="77" t="n">
        <f aca="false">Actuals!B13</f>
        <v>507000</v>
      </c>
    </row>
    <row r="172" customFormat="false" ht="15" hidden="false" customHeight="false" outlineLevel="0" collapsed="false">
      <c r="A172" s="76" t="n">
        <v>46023</v>
      </c>
      <c r="B172" s="5" t="s">
        <v>59</v>
      </c>
      <c r="C172" s="5" t="n">
        <v>3</v>
      </c>
      <c r="D172" s="5" t="s">
        <v>68</v>
      </c>
      <c r="E172" s="77" t="n">
        <f aca="false">Actuals!B14</f>
        <v>424710</v>
      </c>
    </row>
    <row r="173" customFormat="false" ht="15" hidden="false" customHeight="false" outlineLevel="0" collapsed="false">
      <c r="A173" s="76" t="n">
        <v>46023</v>
      </c>
      <c r="B173" s="5" t="s">
        <v>59</v>
      </c>
      <c r="C173" s="5" t="n">
        <v>4</v>
      </c>
      <c r="D173" s="5" t="s">
        <v>282</v>
      </c>
      <c r="E173" s="77" t="n">
        <f aca="false">Actuals!B18</f>
        <v>545964</v>
      </c>
    </row>
    <row r="174" customFormat="false" ht="15" hidden="false" customHeight="false" outlineLevel="0" collapsed="false">
      <c r="A174" s="76" t="n">
        <v>46023</v>
      </c>
      <c r="B174" s="5" t="s">
        <v>59</v>
      </c>
      <c r="C174" s="5" t="n">
        <v>5</v>
      </c>
      <c r="D174" s="5" t="s">
        <v>282</v>
      </c>
      <c r="E174" s="77" t="n">
        <f aca="false">Actuals!B19</f>
        <v>171678</v>
      </c>
    </row>
    <row r="175" customFormat="false" ht="15" hidden="false" customHeight="false" outlineLevel="0" collapsed="false">
      <c r="A175" s="76" t="n">
        <v>46023</v>
      </c>
      <c r="B175" s="5" t="s">
        <v>59</v>
      </c>
      <c r="C175" s="5" t="n">
        <v>6</v>
      </c>
      <c r="D175" s="5" t="s">
        <v>282</v>
      </c>
      <c r="E175" s="77" t="n">
        <f aca="false">Actuals!B20</f>
        <v>67452</v>
      </c>
    </row>
    <row r="176" customFormat="false" ht="15" hidden="false" customHeight="false" outlineLevel="0" collapsed="false">
      <c r="A176" s="76" t="n">
        <v>46023</v>
      </c>
      <c r="B176" s="5" t="s">
        <v>59</v>
      </c>
      <c r="C176" s="5" t="n">
        <v>7</v>
      </c>
      <c r="D176" s="5" t="s">
        <v>282</v>
      </c>
      <c r="E176" s="77" t="n">
        <f aca="false">Actuals!B26</f>
        <v>284100</v>
      </c>
    </row>
    <row r="177" customFormat="false" ht="15" hidden="false" customHeight="false" outlineLevel="0" collapsed="false">
      <c r="A177" s="76" t="n">
        <v>46023</v>
      </c>
      <c r="B177" s="5" t="s">
        <v>59</v>
      </c>
      <c r="C177" s="5" t="n">
        <v>8</v>
      </c>
      <c r="D177" s="5" t="s">
        <v>282</v>
      </c>
      <c r="E177" s="77" t="n">
        <f aca="false">Actuals!B27</f>
        <v>134800</v>
      </c>
    </row>
    <row r="178" customFormat="false" ht="15" hidden="false" customHeight="false" outlineLevel="0" collapsed="false">
      <c r="A178" s="76" t="n">
        <v>46023</v>
      </c>
      <c r="B178" s="5" t="s">
        <v>59</v>
      </c>
      <c r="C178" s="5" t="n">
        <v>9</v>
      </c>
      <c r="D178" s="5" t="s">
        <v>282</v>
      </c>
      <c r="E178" s="77" t="n">
        <f aca="false">Actuals!B28</f>
        <v>62000</v>
      </c>
    </row>
    <row r="179" customFormat="false" ht="15" hidden="false" customHeight="false" outlineLevel="0" collapsed="false">
      <c r="A179" s="76" t="n">
        <v>46023</v>
      </c>
      <c r="B179" s="5" t="s">
        <v>59</v>
      </c>
      <c r="C179" s="5" t="n">
        <v>10</v>
      </c>
      <c r="D179" s="5" t="s">
        <v>282</v>
      </c>
      <c r="E179" s="77" t="n">
        <f aca="false">Actuals!B29</f>
        <v>37600</v>
      </c>
    </row>
    <row r="180" customFormat="false" ht="15" hidden="false" customHeight="false" outlineLevel="0" collapsed="false">
      <c r="A180" s="76" t="n">
        <v>46023</v>
      </c>
      <c r="B180" s="5" t="s">
        <v>59</v>
      </c>
      <c r="C180" s="5" t="n">
        <v>11</v>
      </c>
      <c r="D180" s="5" t="s">
        <v>282</v>
      </c>
      <c r="E180" s="77" t="n">
        <f aca="false">Actuals!B30</f>
        <v>21500</v>
      </c>
    </row>
    <row r="181" customFormat="false" ht="15" hidden="false" customHeight="false" outlineLevel="0" collapsed="false">
      <c r="A181" s="76" t="n">
        <v>46023</v>
      </c>
      <c r="B181" s="5" t="s">
        <v>59</v>
      </c>
      <c r="C181" s="5" t="n">
        <v>12</v>
      </c>
      <c r="D181" s="5" t="s">
        <v>282</v>
      </c>
      <c r="E181" s="77" t="n">
        <f aca="false">Actuals!B31</f>
        <v>11200</v>
      </c>
    </row>
    <row r="182" customFormat="false" ht="15" hidden="false" customHeight="false" outlineLevel="0" collapsed="false">
      <c r="A182" s="76" t="n">
        <v>46023</v>
      </c>
      <c r="B182" s="5" t="s">
        <v>59</v>
      </c>
      <c r="C182" s="5" t="n">
        <v>13</v>
      </c>
      <c r="D182" s="5" t="s">
        <v>282</v>
      </c>
      <c r="E182" s="77" t="n">
        <f aca="false">Actuals!B32</f>
        <v>12000</v>
      </c>
    </row>
    <row r="183" customFormat="false" ht="15" hidden="false" customHeight="false" outlineLevel="0" collapsed="false">
      <c r="A183" s="76" t="n">
        <v>46023</v>
      </c>
      <c r="B183" s="5" t="s">
        <v>59</v>
      </c>
      <c r="C183" s="5" t="n">
        <v>14</v>
      </c>
      <c r="D183" s="5" t="s">
        <v>282</v>
      </c>
      <c r="E183" s="77" t="n">
        <f aca="false">Actuals!B33</f>
        <v>17400</v>
      </c>
    </row>
    <row r="184" customFormat="false" ht="15" hidden="false" customHeight="false" outlineLevel="0" collapsed="false">
      <c r="A184" s="76" t="n">
        <v>46054</v>
      </c>
      <c r="B184" s="5" t="s">
        <v>59</v>
      </c>
      <c r="C184" s="5" t="n">
        <v>1</v>
      </c>
      <c r="D184" s="5" t="s">
        <v>66</v>
      </c>
      <c r="E184" s="77" t="n">
        <f aca="false">Actuals!C12</f>
        <v>555984</v>
      </c>
    </row>
    <row r="185" customFormat="false" ht="15" hidden="false" customHeight="false" outlineLevel="0" collapsed="false">
      <c r="A185" s="76" t="n">
        <v>46054</v>
      </c>
      <c r="B185" s="5" t="s">
        <v>59</v>
      </c>
      <c r="C185" s="5" t="n">
        <v>2</v>
      </c>
      <c r="D185" s="5" t="s">
        <v>67</v>
      </c>
      <c r="E185" s="77" t="n">
        <f aca="false">Actuals!C13</f>
        <v>496860</v>
      </c>
    </row>
    <row r="186" customFormat="false" ht="15" hidden="false" customHeight="false" outlineLevel="0" collapsed="false">
      <c r="A186" s="76" t="n">
        <v>46054</v>
      </c>
      <c r="B186" s="5" t="s">
        <v>59</v>
      </c>
      <c r="C186" s="5" t="n">
        <v>3</v>
      </c>
      <c r="D186" s="5" t="s">
        <v>68</v>
      </c>
      <c r="E186" s="77" t="n">
        <f aca="false">Actuals!C14</f>
        <v>437580</v>
      </c>
    </row>
    <row r="187" customFormat="false" ht="15" hidden="false" customHeight="false" outlineLevel="0" collapsed="false">
      <c r="A187" s="76" t="n">
        <v>46054</v>
      </c>
      <c r="B187" s="5" t="s">
        <v>59</v>
      </c>
      <c r="C187" s="5" t="n">
        <v>4</v>
      </c>
      <c r="D187" s="5" t="s">
        <v>282</v>
      </c>
      <c r="E187" s="77" t="n">
        <f aca="false">Actuals!C18</f>
        <v>543127</v>
      </c>
    </row>
    <row r="188" customFormat="false" ht="15" hidden="false" customHeight="false" outlineLevel="0" collapsed="false">
      <c r="A188" s="76" t="n">
        <v>46054</v>
      </c>
      <c r="B188" s="5" t="s">
        <v>59</v>
      </c>
      <c r="C188" s="5" t="n">
        <v>5</v>
      </c>
      <c r="D188" s="5" t="s">
        <v>282</v>
      </c>
      <c r="E188" s="77" t="n">
        <f aca="false">Actuals!C19</f>
        <v>170781</v>
      </c>
    </row>
    <row r="189" customFormat="false" ht="15" hidden="false" customHeight="false" outlineLevel="0" collapsed="false">
      <c r="A189" s="76" t="n">
        <v>46054</v>
      </c>
      <c r="B189" s="5" t="s">
        <v>59</v>
      </c>
      <c r="C189" s="5" t="n">
        <v>6</v>
      </c>
      <c r="D189" s="5" t="s">
        <v>282</v>
      </c>
      <c r="E189" s="77" t="n">
        <f aca="false">Actuals!C20</f>
        <v>68560</v>
      </c>
    </row>
    <row r="190" customFormat="false" ht="15" hidden="false" customHeight="false" outlineLevel="0" collapsed="false">
      <c r="A190" s="76" t="n">
        <v>46054</v>
      </c>
      <c r="B190" s="5" t="s">
        <v>59</v>
      </c>
      <c r="C190" s="5" t="n">
        <v>7</v>
      </c>
      <c r="D190" s="5" t="s">
        <v>282</v>
      </c>
      <c r="E190" s="77" t="n">
        <f aca="false">Actuals!C26</f>
        <v>272300</v>
      </c>
    </row>
    <row r="191" customFormat="false" ht="15" hidden="false" customHeight="false" outlineLevel="0" collapsed="false">
      <c r="A191" s="76" t="n">
        <v>46054</v>
      </c>
      <c r="B191" s="5" t="s">
        <v>59</v>
      </c>
      <c r="C191" s="5" t="n">
        <v>8</v>
      </c>
      <c r="D191" s="5" t="s">
        <v>282</v>
      </c>
      <c r="E191" s="77" t="n">
        <f aca="false">Actuals!C27</f>
        <v>132100</v>
      </c>
    </row>
    <row r="192" customFormat="false" ht="15" hidden="false" customHeight="false" outlineLevel="0" collapsed="false">
      <c r="A192" s="76" t="n">
        <v>46054</v>
      </c>
      <c r="B192" s="5" t="s">
        <v>59</v>
      </c>
      <c r="C192" s="5" t="n">
        <v>9</v>
      </c>
      <c r="D192" s="5" t="s">
        <v>282</v>
      </c>
      <c r="E192" s="77" t="n">
        <f aca="false">Actuals!C28</f>
        <v>62000</v>
      </c>
    </row>
    <row r="193" customFormat="false" ht="15" hidden="false" customHeight="false" outlineLevel="0" collapsed="false">
      <c r="A193" s="76" t="n">
        <v>46054</v>
      </c>
      <c r="B193" s="5" t="s">
        <v>59</v>
      </c>
      <c r="C193" s="5" t="n">
        <v>10</v>
      </c>
      <c r="D193" s="5" t="s">
        <v>282</v>
      </c>
      <c r="E193" s="77" t="n">
        <f aca="false">Actuals!C29</f>
        <v>38200</v>
      </c>
    </row>
    <row r="194" customFormat="false" ht="15" hidden="false" customHeight="false" outlineLevel="0" collapsed="false">
      <c r="A194" s="76" t="n">
        <v>46054</v>
      </c>
      <c r="B194" s="5" t="s">
        <v>59</v>
      </c>
      <c r="C194" s="5" t="n">
        <v>11</v>
      </c>
      <c r="D194" s="5" t="s">
        <v>282</v>
      </c>
      <c r="E194" s="77" t="n">
        <f aca="false">Actuals!C30</f>
        <v>23100</v>
      </c>
    </row>
    <row r="195" customFormat="false" ht="15" hidden="false" customHeight="false" outlineLevel="0" collapsed="false">
      <c r="A195" s="76" t="n">
        <v>46054</v>
      </c>
      <c r="B195" s="5" t="s">
        <v>59</v>
      </c>
      <c r="C195" s="5" t="n">
        <v>12</v>
      </c>
      <c r="D195" s="5" t="s">
        <v>282</v>
      </c>
      <c r="E195" s="77" t="n">
        <f aca="false">Actuals!C31</f>
        <v>12500</v>
      </c>
    </row>
    <row r="196" customFormat="false" ht="15" hidden="false" customHeight="false" outlineLevel="0" collapsed="false">
      <c r="A196" s="76" t="n">
        <v>46054</v>
      </c>
      <c r="B196" s="5" t="s">
        <v>59</v>
      </c>
      <c r="C196" s="5" t="n">
        <v>13</v>
      </c>
      <c r="D196" s="5" t="s">
        <v>282</v>
      </c>
      <c r="E196" s="77" t="n">
        <f aca="false">Actuals!C32</f>
        <v>12000</v>
      </c>
    </row>
    <row r="197" customFormat="false" ht="15" hidden="false" customHeight="false" outlineLevel="0" collapsed="false">
      <c r="A197" s="76" t="n">
        <v>46054</v>
      </c>
      <c r="B197" s="5" t="s">
        <v>59</v>
      </c>
      <c r="C197" s="5" t="n">
        <v>14</v>
      </c>
      <c r="D197" s="5" t="s">
        <v>282</v>
      </c>
      <c r="E197" s="77" t="n">
        <f aca="false">Actuals!C33</f>
        <v>18900</v>
      </c>
    </row>
    <row r="198" customFormat="false" ht="15" hidden="false" customHeight="false" outlineLevel="0" collapsed="false">
      <c r="A198" s="76" t="n">
        <v>46082</v>
      </c>
      <c r="B198" s="5" t="s">
        <v>59</v>
      </c>
      <c r="C198" s="5" t="n">
        <v>1</v>
      </c>
      <c r="D198" s="5" t="s">
        <v>66</v>
      </c>
      <c r="E198" s="77" t="n">
        <f aca="false">Actuals!D12</f>
        <v>653702</v>
      </c>
    </row>
    <row r="199" customFormat="false" ht="15" hidden="false" customHeight="false" outlineLevel="0" collapsed="false">
      <c r="A199" s="76" t="n">
        <v>46082</v>
      </c>
      <c r="B199" s="5" t="s">
        <v>59</v>
      </c>
      <c r="C199" s="5" t="n">
        <v>2</v>
      </c>
      <c r="D199" s="5" t="s">
        <v>67</v>
      </c>
      <c r="E199" s="77" t="n">
        <f aca="false">Actuals!D13</f>
        <v>579150</v>
      </c>
    </row>
    <row r="200" customFormat="false" ht="15" hidden="false" customHeight="false" outlineLevel="0" collapsed="false">
      <c r="A200" s="76" t="n">
        <v>46082</v>
      </c>
      <c r="B200" s="5" t="s">
        <v>59</v>
      </c>
      <c r="C200" s="5" t="n">
        <v>3</v>
      </c>
      <c r="D200" s="5" t="s">
        <v>68</v>
      </c>
      <c r="E200" s="77" t="n">
        <f aca="false">Actuals!D14</f>
        <v>509850</v>
      </c>
    </row>
    <row r="201" customFormat="false" ht="15" hidden="false" customHeight="false" outlineLevel="0" collapsed="false">
      <c r="A201" s="76" t="n">
        <v>46082</v>
      </c>
      <c r="B201" s="5" t="s">
        <v>59</v>
      </c>
      <c r="C201" s="5" t="n">
        <v>4</v>
      </c>
      <c r="D201" s="5" t="s">
        <v>282</v>
      </c>
      <c r="E201" s="77" t="n">
        <f aca="false">Actuals!D18</f>
        <v>642069</v>
      </c>
    </row>
    <row r="202" customFormat="false" ht="15" hidden="false" customHeight="false" outlineLevel="0" collapsed="false">
      <c r="A202" s="76" t="n">
        <v>46082</v>
      </c>
      <c r="B202" s="5" t="s">
        <v>59</v>
      </c>
      <c r="C202" s="5" t="n">
        <v>5</v>
      </c>
      <c r="D202" s="5" t="s">
        <v>282</v>
      </c>
      <c r="E202" s="77" t="n">
        <f aca="false">Actuals!D19</f>
        <v>201735</v>
      </c>
    </row>
    <row r="203" customFormat="false" ht="15" hidden="false" customHeight="false" outlineLevel="0" collapsed="false">
      <c r="A203" s="76" t="n">
        <v>46082</v>
      </c>
      <c r="B203" s="5" t="s">
        <v>59</v>
      </c>
      <c r="C203" s="5" t="n">
        <v>6</v>
      </c>
      <c r="D203" s="5" t="s">
        <v>282</v>
      </c>
      <c r="E203" s="77" t="n">
        <f aca="false">Actuals!D20</f>
        <v>81907</v>
      </c>
    </row>
    <row r="204" customFormat="false" ht="15" hidden="false" customHeight="false" outlineLevel="0" collapsed="false">
      <c r="A204" s="76" t="n">
        <v>46082</v>
      </c>
      <c r="B204" s="5" t="s">
        <v>59</v>
      </c>
      <c r="C204" s="5" t="n">
        <v>7</v>
      </c>
      <c r="D204" s="5" t="s">
        <v>282</v>
      </c>
      <c r="E204" s="77" t="n">
        <f aca="false">Actuals!D26</f>
        <v>270450</v>
      </c>
    </row>
    <row r="205" customFormat="false" ht="15" hidden="false" customHeight="false" outlineLevel="0" collapsed="false">
      <c r="A205" s="76" t="n">
        <v>46082</v>
      </c>
      <c r="B205" s="5" t="s">
        <v>59</v>
      </c>
      <c r="C205" s="5" t="n">
        <v>8</v>
      </c>
      <c r="D205" s="5" t="s">
        <v>282</v>
      </c>
      <c r="E205" s="77" t="n">
        <f aca="false">Actuals!D27</f>
        <v>199100</v>
      </c>
    </row>
    <row r="206" customFormat="false" ht="15" hidden="false" customHeight="false" outlineLevel="0" collapsed="false">
      <c r="A206" s="76" t="n">
        <v>46082</v>
      </c>
      <c r="B206" s="5" t="s">
        <v>59</v>
      </c>
      <c r="C206" s="5" t="n">
        <v>9</v>
      </c>
      <c r="D206" s="5" t="s">
        <v>282</v>
      </c>
      <c r="E206" s="77" t="n">
        <f aca="false">Actuals!D28</f>
        <v>62000</v>
      </c>
    </row>
    <row r="207" customFormat="false" ht="15" hidden="false" customHeight="false" outlineLevel="0" collapsed="false">
      <c r="A207" s="76" t="n">
        <v>46082</v>
      </c>
      <c r="B207" s="5" t="s">
        <v>59</v>
      </c>
      <c r="C207" s="5" t="n">
        <v>10</v>
      </c>
      <c r="D207" s="5" t="s">
        <v>282</v>
      </c>
      <c r="E207" s="77" t="n">
        <f aca="false">Actuals!D29</f>
        <v>38400</v>
      </c>
    </row>
    <row r="208" customFormat="false" ht="15" hidden="false" customHeight="false" outlineLevel="0" collapsed="false">
      <c r="A208" s="76" t="n">
        <v>46082</v>
      </c>
      <c r="B208" s="5" t="s">
        <v>59</v>
      </c>
      <c r="C208" s="5" t="n">
        <v>11</v>
      </c>
      <c r="D208" s="5" t="s">
        <v>282</v>
      </c>
      <c r="E208" s="77" t="n">
        <f aca="false">Actuals!D30</f>
        <v>22400</v>
      </c>
    </row>
    <row r="209" customFormat="false" ht="15" hidden="false" customHeight="false" outlineLevel="0" collapsed="false">
      <c r="A209" s="76" t="n">
        <v>46082</v>
      </c>
      <c r="B209" s="5" t="s">
        <v>59</v>
      </c>
      <c r="C209" s="5" t="n">
        <v>12</v>
      </c>
      <c r="D209" s="5" t="s">
        <v>282</v>
      </c>
      <c r="E209" s="77" t="n">
        <f aca="false">Actuals!D31</f>
        <v>16800</v>
      </c>
    </row>
    <row r="210" customFormat="false" ht="15" hidden="false" customHeight="false" outlineLevel="0" collapsed="false">
      <c r="A210" s="76" t="n">
        <v>46082</v>
      </c>
      <c r="B210" s="5" t="s">
        <v>59</v>
      </c>
      <c r="C210" s="5" t="n">
        <v>13</v>
      </c>
      <c r="D210" s="5" t="s">
        <v>282</v>
      </c>
      <c r="E210" s="77" t="n">
        <f aca="false">Actuals!D32</f>
        <v>12000</v>
      </c>
    </row>
    <row r="211" customFormat="false" ht="15" hidden="false" customHeight="false" outlineLevel="0" collapsed="false">
      <c r="A211" s="76" t="n">
        <v>46082</v>
      </c>
      <c r="B211" s="5" t="s">
        <v>59</v>
      </c>
      <c r="C211" s="5" t="n">
        <v>14</v>
      </c>
      <c r="D211" s="5" t="s">
        <v>282</v>
      </c>
      <c r="E211" s="77" t="n">
        <f aca="false">Actuals!D33</f>
        <v>19600</v>
      </c>
    </row>
    <row r="212" customFormat="false" ht="15" hidden="false" customHeight="false" outlineLevel="0" collapsed="false">
      <c r="A212" s="76" t="n">
        <v>46113</v>
      </c>
      <c r="B212" s="5" t="s">
        <v>59</v>
      </c>
      <c r="C212" s="5" t="n">
        <v>1</v>
      </c>
      <c r="D212" s="5" t="s">
        <v>66</v>
      </c>
      <c r="E212" s="77" t="n">
        <f aca="false">Actuals!E12</f>
        <v>678845</v>
      </c>
    </row>
    <row r="213" customFormat="false" ht="15" hidden="false" customHeight="false" outlineLevel="0" collapsed="false">
      <c r="A213" s="76" t="n">
        <v>46113</v>
      </c>
      <c r="B213" s="5" t="s">
        <v>59</v>
      </c>
      <c r="C213" s="5" t="n">
        <v>2</v>
      </c>
      <c r="D213" s="5" t="s">
        <v>67</v>
      </c>
      <c r="E213" s="77" t="n">
        <f aca="false">Actuals!E13</f>
        <v>573124</v>
      </c>
    </row>
    <row r="214" customFormat="false" ht="15" hidden="false" customHeight="false" outlineLevel="0" collapsed="false">
      <c r="A214" s="76" t="n">
        <v>46113</v>
      </c>
      <c r="B214" s="5" t="s">
        <v>59</v>
      </c>
      <c r="C214" s="5" t="n">
        <v>3</v>
      </c>
      <c r="D214" s="5" t="s">
        <v>68</v>
      </c>
      <c r="E214" s="77" t="n">
        <f aca="false">Actuals!E14</f>
        <v>519948</v>
      </c>
    </row>
    <row r="215" customFormat="false" ht="15" hidden="false" customHeight="false" outlineLevel="0" collapsed="false">
      <c r="A215" s="76" t="n">
        <v>46113</v>
      </c>
      <c r="B215" s="5" t="s">
        <v>59</v>
      </c>
      <c r="C215" s="5" t="n">
        <v>4</v>
      </c>
      <c r="D215" s="5" t="s">
        <v>282</v>
      </c>
      <c r="E215" s="77" t="n">
        <f aca="false">Actuals!E18</f>
        <v>653586</v>
      </c>
    </row>
    <row r="216" customFormat="false" ht="15" hidden="false" customHeight="false" outlineLevel="0" collapsed="false">
      <c r="A216" s="76" t="n">
        <v>46113</v>
      </c>
      <c r="B216" s="5" t="s">
        <v>59</v>
      </c>
      <c r="C216" s="5" t="n">
        <v>5</v>
      </c>
      <c r="D216" s="5" t="s">
        <v>282</v>
      </c>
      <c r="E216" s="77" t="n">
        <f aca="false">Actuals!E19</f>
        <v>201825</v>
      </c>
    </row>
    <row r="217" customFormat="false" ht="15" hidden="false" customHeight="false" outlineLevel="0" collapsed="false">
      <c r="A217" s="76" t="n">
        <v>46113</v>
      </c>
      <c r="B217" s="5" t="s">
        <v>59</v>
      </c>
      <c r="C217" s="5" t="n">
        <v>6</v>
      </c>
      <c r="D217" s="5" t="s">
        <v>282</v>
      </c>
      <c r="E217" s="77" t="n">
        <f aca="false">Actuals!E20</f>
        <v>85052</v>
      </c>
    </row>
    <row r="218" customFormat="false" ht="15" hidden="false" customHeight="false" outlineLevel="0" collapsed="false">
      <c r="A218" s="76" t="n">
        <v>46113</v>
      </c>
      <c r="B218" s="5" t="s">
        <v>59</v>
      </c>
      <c r="C218" s="5" t="n">
        <v>7</v>
      </c>
      <c r="D218" s="5" t="s">
        <v>282</v>
      </c>
      <c r="E218" s="77" t="n">
        <f aca="false">Actuals!E26</f>
        <v>279200</v>
      </c>
    </row>
    <row r="219" customFormat="false" ht="15" hidden="false" customHeight="false" outlineLevel="0" collapsed="false">
      <c r="A219" s="76" t="n">
        <v>46113</v>
      </c>
      <c r="B219" s="5" t="s">
        <v>59</v>
      </c>
      <c r="C219" s="5" t="n">
        <v>8</v>
      </c>
      <c r="D219" s="5" t="s">
        <v>282</v>
      </c>
      <c r="E219" s="77" t="n">
        <f aca="false">Actuals!E27</f>
        <v>164900</v>
      </c>
    </row>
    <row r="220" customFormat="false" ht="15" hidden="false" customHeight="false" outlineLevel="0" collapsed="false">
      <c r="A220" s="76" t="n">
        <v>46113</v>
      </c>
      <c r="B220" s="5" t="s">
        <v>59</v>
      </c>
      <c r="C220" s="5" t="n">
        <v>9</v>
      </c>
      <c r="D220" s="5" t="s">
        <v>282</v>
      </c>
      <c r="E220" s="77" t="n">
        <f aca="false">Actuals!E28</f>
        <v>62000</v>
      </c>
    </row>
    <row r="221" customFormat="false" ht="15" hidden="false" customHeight="false" outlineLevel="0" collapsed="false">
      <c r="A221" s="76" t="n">
        <v>46113</v>
      </c>
      <c r="B221" s="5" t="s">
        <v>59</v>
      </c>
      <c r="C221" s="5" t="n">
        <v>10</v>
      </c>
      <c r="D221" s="5" t="s">
        <v>282</v>
      </c>
      <c r="E221" s="77" t="n">
        <f aca="false">Actuals!E29</f>
        <v>38900</v>
      </c>
    </row>
    <row r="222" customFormat="false" ht="15" hidden="false" customHeight="false" outlineLevel="0" collapsed="false">
      <c r="A222" s="76" t="n">
        <v>46113</v>
      </c>
      <c r="B222" s="5" t="s">
        <v>59</v>
      </c>
      <c r="C222" s="5" t="n">
        <v>11</v>
      </c>
      <c r="D222" s="5" t="s">
        <v>282</v>
      </c>
      <c r="E222" s="77" t="n">
        <f aca="false">Actuals!E30</f>
        <v>61000</v>
      </c>
    </row>
    <row r="223" customFormat="false" ht="15" hidden="false" customHeight="false" outlineLevel="0" collapsed="false">
      <c r="A223" s="76" t="n">
        <v>46113</v>
      </c>
      <c r="B223" s="5" t="s">
        <v>59</v>
      </c>
      <c r="C223" s="5" t="n">
        <v>12</v>
      </c>
      <c r="D223" s="5" t="s">
        <v>282</v>
      </c>
      <c r="E223" s="77" t="n">
        <f aca="false">Actuals!E31</f>
        <v>11000</v>
      </c>
    </row>
    <row r="224" customFormat="false" ht="15" hidden="false" customHeight="false" outlineLevel="0" collapsed="false">
      <c r="A224" s="76" t="n">
        <v>46113</v>
      </c>
      <c r="B224" s="5" t="s">
        <v>59</v>
      </c>
      <c r="C224" s="5" t="n">
        <v>13</v>
      </c>
      <c r="D224" s="5" t="s">
        <v>282</v>
      </c>
      <c r="E224" s="77" t="n">
        <f aca="false">Actuals!E32</f>
        <v>12000</v>
      </c>
    </row>
    <row r="225" customFormat="false" ht="15" hidden="false" customHeight="false" outlineLevel="0" collapsed="false">
      <c r="A225" s="76" t="n">
        <v>46113</v>
      </c>
      <c r="B225" s="5" t="s">
        <v>59</v>
      </c>
      <c r="C225" s="5" t="n">
        <v>14</v>
      </c>
      <c r="D225" s="5" t="s">
        <v>282</v>
      </c>
      <c r="E225" s="77" t="n">
        <f aca="false">Actuals!E33</f>
        <v>16800</v>
      </c>
    </row>
    <row r="226" customFormat="false" ht="15" hidden="false" customHeight="false" outlineLevel="0" collapsed="false">
      <c r="A226" s="76" t="n">
        <v>46143</v>
      </c>
      <c r="B226" s="5" t="s">
        <v>59</v>
      </c>
      <c r="C226" s="5" t="n">
        <v>1</v>
      </c>
      <c r="D226" s="5" t="s">
        <v>66</v>
      </c>
      <c r="E226" s="77" t="n">
        <f aca="false">Actuals!F12</f>
        <v>738340</v>
      </c>
    </row>
    <row r="227" customFormat="false" ht="15" hidden="false" customHeight="false" outlineLevel="0" collapsed="false">
      <c r="A227" s="76" t="n">
        <v>46143</v>
      </c>
      <c r="B227" s="5" t="s">
        <v>59</v>
      </c>
      <c r="C227" s="5" t="n">
        <v>2</v>
      </c>
      <c r="D227" s="5" t="s">
        <v>67</v>
      </c>
      <c r="E227" s="77" t="n">
        <f aca="false">Actuals!F13</f>
        <v>536640</v>
      </c>
    </row>
    <row r="228" customFormat="false" ht="15" hidden="false" customHeight="false" outlineLevel="0" collapsed="false">
      <c r="A228" s="76" t="n">
        <v>46143</v>
      </c>
      <c r="B228" s="5" t="s">
        <v>59</v>
      </c>
      <c r="C228" s="5" t="n">
        <v>3</v>
      </c>
      <c r="D228" s="5" t="s">
        <v>68</v>
      </c>
      <c r="E228" s="77" t="n">
        <f aca="false">Actuals!F14</f>
        <v>565594</v>
      </c>
    </row>
    <row r="229" customFormat="false" ht="15" hidden="false" customHeight="false" outlineLevel="0" collapsed="false">
      <c r="A229" s="76" t="n">
        <v>46143</v>
      </c>
      <c r="B229" s="5" t="s">
        <v>59</v>
      </c>
      <c r="C229" s="5" t="n">
        <v>4</v>
      </c>
      <c r="D229" s="5" t="s">
        <v>282</v>
      </c>
      <c r="E229" s="77" t="n">
        <f aca="false">Actuals!F18</f>
        <v>680909</v>
      </c>
    </row>
    <row r="230" customFormat="false" ht="15" hidden="false" customHeight="false" outlineLevel="0" collapsed="false">
      <c r="A230" s="76" t="n">
        <v>46143</v>
      </c>
      <c r="B230" s="5" t="s">
        <v>59</v>
      </c>
      <c r="C230" s="5" t="n">
        <v>5</v>
      </c>
      <c r="D230" s="5" t="s">
        <v>282</v>
      </c>
      <c r="E230" s="77" t="n">
        <f aca="false">Actuals!F19</f>
        <v>210888</v>
      </c>
    </row>
    <row r="231" customFormat="false" ht="15" hidden="false" customHeight="false" outlineLevel="0" collapsed="false">
      <c r="A231" s="76" t="n">
        <v>46143</v>
      </c>
      <c r="B231" s="5" t="s">
        <v>59</v>
      </c>
      <c r="C231" s="5" t="n">
        <v>6</v>
      </c>
      <c r="D231" s="5" t="s">
        <v>282</v>
      </c>
      <c r="E231" s="77" t="n">
        <f aca="false">Actuals!F20</f>
        <v>95710</v>
      </c>
    </row>
    <row r="232" customFormat="false" ht="15" hidden="false" customHeight="false" outlineLevel="0" collapsed="false">
      <c r="A232" s="76" t="n">
        <v>46143</v>
      </c>
      <c r="B232" s="5" t="s">
        <v>59</v>
      </c>
      <c r="C232" s="5" t="n">
        <v>7</v>
      </c>
      <c r="D232" s="5" t="s">
        <v>282</v>
      </c>
      <c r="E232" s="77" t="n">
        <f aca="false">Actuals!F26</f>
        <v>280150</v>
      </c>
    </row>
    <row r="233" customFormat="false" ht="15" hidden="false" customHeight="false" outlineLevel="0" collapsed="false">
      <c r="A233" s="76" t="n">
        <v>46143</v>
      </c>
      <c r="B233" s="5" t="s">
        <v>59</v>
      </c>
      <c r="C233" s="5" t="n">
        <v>8</v>
      </c>
      <c r="D233" s="5" t="s">
        <v>282</v>
      </c>
      <c r="E233" s="77" t="n">
        <f aca="false">Actuals!F27</f>
        <v>170900</v>
      </c>
    </row>
    <row r="234" customFormat="false" ht="15" hidden="false" customHeight="false" outlineLevel="0" collapsed="false">
      <c r="A234" s="76" t="n">
        <v>46143</v>
      </c>
      <c r="B234" s="5" t="s">
        <v>59</v>
      </c>
      <c r="C234" s="5" t="n">
        <v>9</v>
      </c>
      <c r="D234" s="5" t="s">
        <v>282</v>
      </c>
      <c r="E234" s="77" t="n">
        <f aca="false">Actuals!F28</f>
        <v>62000</v>
      </c>
    </row>
    <row r="235" customFormat="false" ht="15" hidden="false" customHeight="false" outlineLevel="0" collapsed="false">
      <c r="A235" s="76" t="n">
        <v>46143</v>
      </c>
      <c r="B235" s="5" t="s">
        <v>59</v>
      </c>
      <c r="C235" s="5" t="n">
        <v>10</v>
      </c>
      <c r="D235" s="5" t="s">
        <v>282</v>
      </c>
      <c r="E235" s="77" t="n">
        <f aca="false">Actuals!F29</f>
        <v>44500</v>
      </c>
    </row>
    <row r="236" customFormat="false" ht="15" hidden="false" customHeight="false" outlineLevel="0" collapsed="false">
      <c r="A236" s="76" t="n">
        <v>46143</v>
      </c>
      <c r="B236" s="5" t="s">
        <v>59</v>
      </c>
      <c r="C236" s="5" t="n">
        <v>11</v>
      </c>
      <c r="D236" s="5" t="s">
        <v>282</v>
      </c>
      <c r="E236" s="77" t="n">
        <f aca="false">Actuals!F30</f>
        <v>24000</v>
      </c>
    </row>
    <row r="237" customFormat="false" ht="15" hidden="false" customHeight="false" outlineLevel="0" collapsed="false">
      <c r="A237" s="76" t="n">
        <v>46143</v>
      </c>
      <c r="B237" s="5" t="s">
        <v>59</v>
      </c>
      <c r="C237" s="5" t="n">
        <v>12</v>
      </c>
      <c r="D237" s="5" t="s">
        <v>282</v>
      </c>
      <c r="E237" s="77" t="n">
        <f aca="false">Actuals!F31</f>
        <v>12100</v>
      </c>
    </row>
    <row r="238" customFormat="false" ht="15" hidden="false" customHeight="false" outlineLevel="0" collapsed="false">
      <c r="A238" s="76" t="n">
        <v>46143</v>
      </c>
      <c r="B238" s="5" t="s">
        <v>59</v>
      </c>
      <c r="C238" s="5" t="n">
        <v>13</v>
      </c>
      <c r="D238" s="5" t="s">
        <v>282</v>
      </c>
      <c r="E238" s="77" t="n">
        <f aca="false">Actuals!F32</f>
        <v>12000</v>
      </c>
    </row>
    <row r="239" customFormat="false" ht="15" hidden="false" customHeight="false" outlineLevel="0" collapsed="false">
      <c r="A239" s="76" t="n">
        <v>46143</v>
      </c>
      <c r="B239" s="5" t="s">
        <v>59</v>
      </c>
      <c r="C239" s="5" t="n">
        <v>14</v>
      </c>
      <c r="D239" s="5" t="s">
        <v>282</v>
      </c>
      <c r="E239" s="77" t="n">
        <f aca="false">Actuals!F33</f>
        <v>18200</v>
      </c>
    </row>
    <row r="240" customFormat="false" ht="15" hidden="false" customHeight="false" outlineLevel="0" collapsed="false">
      <c r="A240" s="76" t="n">
        <v>46174</v>
      </c>
      <c r="B240" s="5" t="s">
        <v>59</v>
      </c>
      <c r="C240" s="5" t="n">
        <v>1</v>
      </c>
      <c r="D240" s="5" t="s">
        <v>66</v>
      </c>
      <c r="E240" s="77" t="n">
        <f aca="false">Actuals!G12</f>
        <v>679493</v>
      </c>
    </row>
    <row r="241" customFormat="false" ht="15" hidden="false" customHeight="false" outlineLevel="0" collapsed="false">
      <c r="A241" s="76" t="n">
        <v>46174</v>
      </c>
      <c r="B241" s="5" t="s">
        <v>59</v>
      </c>
      <c r="C241" s="5" t="n">
        <v>2</v>
      </c>
      <c r="D241" s="5" t="s">
        <v>67</v>
      </c>
      <c r="E241" s="77" t="n">
        <f aca="false">Actuals!G13</f>
        <v>472680</v>
      </c>
    </row>
    <row r="242" customFormat="false" ht="15" hidden="false" customHeight="false" outlineLevel="0" collapsed="false">
      <c r="A242" s="76" t="n">
        <v>46174</v>
      </c>
      <c r="B242" s="5" t="s">
        <v>59</v>
      </c>
      <c r="C242" s="5" t="n">
        <v>3</v>
      </c>
      <c r="D242" s="5" t="s">
        <v>68</v>
      </c>
      <c r="E242" s="77" t="n">
        <f aca="false">Actuals!G14</f>
        <v>537966</v>
      </c>
    </row>
    <row r="243" customFormat="false" ht="15" hidden="false" customHeight="false" outlineLevel="0" collapsed="false">
      <c r="A243" s="76" t="n">
        <v>46174</v>
      </c>
      <c r="B243" s="5" t="s">
        <v>59</v>
      </c>
      <c r="C243" s="5" t="n">
        <v>4</v>
      </c>
      <c r="D243" s="5" t="s">
        <v>282</v>
      </c>
      <c r="E243" s="77" t="n">
        <f aca="false">Actuals!G18</f>
        <v>621804</v>
      </c>
    </row>
    <row r="244" customFormat="false" ht="15" hidden="false" customHeight="false" outlineLevel="0" collapsed="false">
      <c r="A244" s="76" t="n">
        <v>46174</v>
      </c>
      <c r="B244" s="5" t="s">
        <v>59</v>
      </c>
      <c r="C244" s="5" t="n">
        <v>5</v>
      </c>
      <c r="D244" s="5" t="s">
        <v>282</v>
      </c>
      <c r="E244" s="77" t="n">
        <f aca="false">Actuals!G19</f>
        <v>196385</v>
      </c>
    </row>
    <row r="245" customFormat="false" ht="15" hidden="false" customHeight="false" outlineLevel="0" collapsed="false">
      <c r="A245" s="76" t="n">
        <v>46174</v>
      </c>
      <c r="B245" s="5" t="s">
        <v>59</v>
      </c>
      <c r="C245" s="5" t="n">
        <v>6</v>
      </c>
      <c r="D245" s="5" t="s">
        <v>282</v>
      </c>
      <c r="E245" s="77" t="n">
        <f aca="false">Actuals!G20</f>
        <v>103098</v>
      </c>
    </row>
    <row r="246" customFormat="false" ht="15" hidden="false" customHeight="false" outlineLevel="0" collapsed="false">
      <c r="A246" s="76" t="n">
        <v>46174</v>
      </c>
      <c r="B246" s="5" t="s">
        <v>59</v>
      </c>
      <c r="C246" s="5" t="n">
        <v>7</v>
      </c>
      <c r="D246" s="5" t="s">
        <v>282</v>
      </c>
      <c r="E246" s="77" t="n">
        <f aca="false">Actuals!G26</f>
        <v>283400</v>
      </c>
    </row>
    <row r="247" customFormat="false" ht="15" hidden="false" customHeight="false" outlineLevel="0" collapsed="false">
      <c r="A247" s="76" t="n">
        <v>46174</v>
      </c>
      <c r="B247" s="5" t="s">
        <v>59</v>
      </c>
      <c r="C247" s="5" t="n">
        <v>8</v>
      </c>
      <c r="D247" s="5" t="s">
        <v>282</v>
      </c>
      <c r="E247" s="77" t="n">
        <f aca="false">Actuals!G27</f>
        <v>158600</v>
      </c>
    </row>
    <row r="248" customFormat="false" ht="15" hidden="false" customHeight="false" outlineLevel="0" collapsed="false">
      <c r="A248" s="76" t="n">
        <v>46174</v>
      </c>
      <c r="B248" s="5" t="s">
        <v>59</v>
      </c>
      <c r="C248" s="5" t="n">
        <v>9</v>
      </c>
      <c r="D248" s="5" t="s">
        <v>282</v>
      </c>
      <c r="E248" s="77" t="n">
        <f aca="false">Actuals!G28</f>
        <v>62000</v>
      </c>
    </row>
    <row r="249" customFormat="false" ht="15" hidden="false" customHeight="false" outlineLevel="0" collapsed="false">
      <c r="A249" s="76" t="n">
        <v>46174</v>
      </c>
      <c r="B249" s="5" t="s">
        <v>59</v>
      </c>
      <c r="C249" s="5" t="n">
        <v>10</v>
      </c>
      <c r="D249" s="5" t="s">
        <v>282</v>
      </c>
      <c r="E249" s="77" t="n">
        <f aca="false">Actuals!G29</f>
        <v>44500</v>
      </c>
    </row>
    <row r="250" customFormat="false" ht="15" hidden="false" customHeight="false" outlineLevel="0" collapsed="false">
      <c r="A250" s="76" t="n">
        <v>46174</v>
      </c>
      <c r="B250" s="5" t="s">
        <v>59</v>
      </c>
      <c r="C250" s="5" t="n">
        <v>11</v>
      </c>
      <c r="D250" s="5" t="s">
        <v>282</v>
      </c>
      <c r="E250" s="77" t="n">
        <f aca="false">Actuals!G30</f>
        <v>48500</v>
      </c>
    </row>
    <row r="251" customFormat="false" ht="15" hidden="false" customHeight="false" outlineLevel="0" collapsed="false">
      <c r="A251" s="76" t="n">
        <v>46174</v>
      </c>
      <c r="B251" s="5" t="s">
        <v>59</v>
      </c>
      <c r="C251" s="5" t="n">
        <v>12</v>
      </c>
      <c r="D251" s="5" t="s">
        <v>282</v>
      </c>
      <c r="E251" s="77" t="n">
        <f aca="false">Actuals!G31</f>
        <v>10400</v>
      </c>
    </row>
    <row r="252" customFormat="false" ht="15" hidden="false" customHeight="false" outlineLevel="0" collapsed="false">
      <c r="A252" s="76" t="n">
        <v>46174</v>
      </c>
      <c r="B252" s="5" t="s">
        <v>59</v>
      </c>
      <c r="C252" s="5" t="n">
        <v>13</v>
      </c>
      <c r="D252" s="5" t="s">
        <v>282</v>
      </c>
      <c r="E252" s="77" t="n">
        <f aca="false">Actuals!G32</f>
        <v>12000</v>
      </c>
    </row>
    <row r="253" customFormat="false" ht="15" hidden="false" customHeight="false" outlineLevel="0" collapsed="false">
      <c r="A253" s="76" t="n">
        <v>46174</v>
      </c>
      <c r="B253" s="5" t="s">
        <v>59</v>
      </c>
      <c r="C253" s="5" t="n">
        <v>14</v>
      </c>
      <c r="D253" s="5" t="s">
        <v>282</v>
      </c>
      <c r="E253" s="77" t="n">
        <f aca="false">Actuals!G33</f>
        <v>20100</v>
      </c>
    </row>
    <row r="254" customFormat="false" ht="15" hidden="false" customHeight="false" outlineLevel="0" collapsed="false">
      <c r="A254" s="76" t="n">
        <v>46204</v>
      </c>
      <c r="B254" s="5" t="s">
        <v>59</v>
      </c>
      <c r="C254" s="5" t="n">
        <v>1</v>
      </c>
      <c r="D254" s="5" t="s">
        <v>66</v>
      </c>
      <c r="E254" s="77" t="n">
        <f aca="false">Actuals!H12</f>
        <v>640120</v>
      </c>
    </row>
    <row r="255" customFormat="false" ht="15" hidden="false" customHeight="false" outlineLevel="0" collapsed="false">
      <c r="A255" s="76" t="n">
        <v>46204</v>
      </c>
      <c r="B255" s="5" t="s">
        <v>59</v>
      </c>
      <c r="C255" s="5" t="n">
        <v>2</v>
      </c>
      <c r="D255" s="5" t="s">
        <v>67</v>
      </c>
      <c r="E255" s="77" t="n">
        <f aca="false">Actuals!H13</f>
        <v>491400</v>
      </c>
    </row>
    <row r="256" customFormat="false" ht="15" hidden="false" customHeight="false" outlineLevel="0" collapsed="false">
      <c r="A256" s="76" t="n">
        <v>46204</v>
      </c>
      <c r="B256" s="5" t="s">
        <v>59</v>
      </c>
      <c r="C256" s="5" t="n">
        <v>3</v>
      </c>
      <c r="D256" s="5" t="s">
        <v>68</v>
      </c>
      <c r="E256" s="77" t="n">
        <f aca="false">Actuals!H14</f>
        <v>494894</v>
      </c>
    </row>
    <row r="257" customFormat="false" ht="15" hidden="false" customHeight="false" outlineLevel="0" collapsed="false">
      <c r="A257" s="76" t="n">
        <v>46204</v>
      </c>
      <c r="B257" s="5" t="s">
        <v>59</v>
      </c>
      <c r="C257" s="5" t="n">
        <v>4</v>
      </c>
      <c r="D257" s="5" t="s">
        <v>282</v>
      </c>
      <c r="E257" s="77" t="n">
        <f aca="false">Actuals!H18</f>
        <v>602303</v>
      </c>
    </row>
    <row r="258" customFormat="false" ht="15" hidden="false" customHeight="false" outlineLevel="0" collapsed="false">
      <c r="A258" s="76" t="n">
        <v>46204</v>
      </c>
      <c r="B258" s="5" t="s">
        <v>59</v>
      </c>
      <c r="C258" s="5" t="n">
        <v>5</v>
      </c>
      <c r="D258" s="5" t="s">
        <v>282</v>
      </c>
      <c r="E258" s="77" t="n">
        <f aca="false">Actuals!H19</f>
        <v>195843</v>
      </c>
    </row>
    <row r="259" customFormat="false" ht="15" hidden="false" customHeight="false" outlineLevel="0" collapsed="false">
      <c r="A259" s="76" t="n">
        <v>46204</v>
      </c>
      <c r="B259" s="5" t="s">
        <v>59</v>
      </c>
      <c r="C259" s="5" t="n">
        <v>6</v>
      </c>
      <c r="D259" s="5" t="s">
        <v>282</v>
      </c>
      <c r="E259" s="77" t="n">
        <f aca="false">Actuals!H20</f>
        <v>95958</v>
      </c>
    </row>
    <row r="260" customFormat="false" ht="15" hidden="false" customHeight="false" outlineLevel="0" collapsed="false">
      <c r="A260" s="76" t="n">
        <v>46204</v>
      </c>
      <c r="B260" s="5" t="s">
        <v>59</v>
      </c>
      <c r="C260" s="5" t="n">
        <v>7</v>
      </c>
      <c r="D260" s="5" t="s">
        <v>282</v>
      </c>
      <c r="E260" s="77" t="n">
        <f aca="false">Actuals!H26</f>
        <v>293100</v>
      </c>
    </row>
    <row r="261" customFormat="false" ht="15" hidden="false" customHeight="false" outlineLevel="0" collapsed="false">
      <c r="A261" s="76" t="n">
        <v>46204</v>
      </c>
      <c r="B261" s="5" t="s">
        <v>59</v>
      </c>
      <c r="C261" s="5" t="n">
        <v>8</v>
      </c>
      <c r="D261" s="5" t="s">
        <v>282</v>
      </c>
      <c r="E261" s="77" t="n">
        <f aca="false">Actuals!H27</f>
        <v>151000</v>
      </c>
    </row>
    <row r="262" customFormat="false" ht="15" hidden="false" customHeight="false" outlineLevel="0" collapsed="false">
      <c r="A262" s="76" t="n">
        <v>46204</v>
      </c>
      <c r="B262" s="5" t="s">
        <v>59</v>
      </c>
      <c r="C262" s="5" t="n">
        <v>9</v>
      </c>
      <c r="D262" s="5" t="s">
        <v>282</v>
      </c>
      <c r="E262" s="77" t="n">
        <f aca="false">Actuals!H28</f>
        <v>64100</v>
      </c>
    </row>
    <row r="263" customFormat="false" ht="15" hidden="false" customHeight="false" outlineLevel="0" collapsed="false">
      <c r="A263" s="76" t="n">
        <v>46204</v>
      </c>
      <c r="B263" s="5" t="s">
        <v>59</v>
      </c>
      <c r="C263" s="5" t="n">
        <v>10</v>
      </c>
      <c r="D263" s="5" t="s">
        <v>282</v>
      </c>
      <c r="E263" s="77" t="n">
        <f aca="false">Actuals!H29</f>
        <v>44650</v>
      </c>
    </row>
    <row r="264" customFormat="false" ht="15" hidden="false" customHeight="false" outlineLevel="0" collapsed="false">
      <c r="A264" s="76" t="n">
        <v>46204</v>
      </c>
      <c r="B264" s="5" t="s">
        <v>59</v>
      </c>
      <c r="C264" s="5" t="n">
        <v>11</v>
      </c>
      <c r="D264" s="5" t="s">
        <v>282</v>
      </c>
      <c r="E264" s="77" t="n">
        <f aca="false">Actuals!H30</f>
        <v>31000</v>
      </c>
    </row>
    <row r="265" customFormat="false" ht="15" hidden="false" customHeight="false" outlineLevel="0" collapsed="false">
      <c r="A265" s="76" t="n">
        <v>46204</v>
      </c>
      <c r="B265" s="5" t="s">
        <v>59</v>
      </c>
      <c r="C265" s="5" t="n">
        <v>12</v>
      </c>
      <c r="D265" s="5" t="s">
        <v>282</v>
      </c>
      <c r="E265" s="77" t="n">
        <f aca="false">Actuals!H31</f>
        <v>9800</v>
      </c>
    </row>
    <row r="266" customFormat="false" ht="15" hidden="false" customHeight="false" outlineLevel="0" collapsed="false">
      <c r="A266" s="76" t="n">
        <v>46204</v>
      </c>
      <c r="B266" s="5" t="s">
        <v>59</v>
      </c>
      <c r="C266" s="5" t="n">
        <v>13</v>
      </c>
      <c r="D266" s="5" t="s">
        <v>282</v>
      </c>
      <c r="E266" s="77" t="n">
        <f aca="false">Actuals!H32</f>
        <v>12960</v>
      </c>
    </row>
    <row r="267" customFormat="false" ht="15" hidden="false" customHeight="false" outlineLevel="0" collapsed="false">
      <c r="A267" s="76" t="n">
        <v>46204</v>
      </c>
      <c r="B267" s="5" t="s">
        <v>59</v>
      </c>
      <c r="C267" s="5" t="n">
        <v>14</v>
      </c>
      <c r="D267" s="5" t="s">
        <v>282</v>
      </c>
      <c r="E267" s="77" t="n">
        <f aca="false">Actuals!H33</f>
        <v>17700</v>
      </c>
    </row>
    <row r="268" customFormat="false" ht="15" hidden="false" customHeight="false" outlineLevel="0" collapsed="false">
      <c r="A268" s="76" t="n">
        <v>46235</v>
      </c>
      <c r="B268" s="5" t="s">
        <v>59</v>
      </c>
      <c r="C268" s="5" t="n">
        <v>1</v>
      </c>
      <c r="D268" s="5" t="s">
        <v>66</v>
      </c>
      <c r="E268" s="77" t="n">
        <f aca="false">Actuals!I12</f>
        <v>691416</v>
      </c>
    </row>
    <row r="269" customFormat="false" ht="15" hidden="false" customHeight="false" outlineLevel="0" collapsed="false">
      <c r="A269" s="76" t="n">
        <v>46235</v>
      </c>
      <c r="B269" s="5" t="s">
        <v>59</v>
      </c>
      <c r="C269" s="5" t="n">
        <v>2</v>
      </c>
      <c r="D269" s="5" t="s">
        <v>67</v>
      </c>
      <c r="E269" s="77" t="n">
        <f aca="false">Actuals!I13</f>
        <v>555750</v>
      </c>
    </row>
    <row r="270" customFormat="false" ht="15" hidden="false" customHeight="false" outlineLevel="0" collapsed="false">
      <c r="A270" s="76" t="n">
        <v>46235</v>
      </c>
      <c r="B270" s="5" t="s">
        <v>59</v>
      </c>
      <c r="C270" s="5" t="n">
        <v>3</v>
      </c>
      <c r="D270" s="5" t="s">
        <v>68</v>
      </c>
      <c r="E270" s="77" t="n">
        <f aca="false">Actuals!I14</f>
        <v>540540</v>
      </c>
    </row>
    <row r="271" customFormat="false" ht="15" hidden="false" customHeight="false" outlineLevel="0" collapsed="false">
      <c r="A271" s="76" t="n">
        <v>46235</v>
      </c>
      <c r="B271" s="5" t="s">
        <v>59</v>
      </c>
      <c r="C271" s="5" t="n">
        <v>4</v>
      </c>
      <c r="D271" s="5" t="s">
        <v>282</v>
      </c>
      <c r="E271" s="77" t="n">
        <f aca="false">Actuals!I18</f>
        <v>665152</v>
      </c>
    </row>
    <row r="272" customFormat="false" ht="15" hidden="false" customHeight="false" outlineLevel="0" collapsed="false">
      <c r="A272" s="76" t="n">
        <v>46235</v>
      </c>
      <c r="B272" s="5" t="s">
        <v>59</v>
      </c>
      <c r="C272" s="5" t="n">
        <v>5</v>
      </c>
      <c r="D272" s="5" t="s">
        <v>282</v>
      </c>
      <c r="E272" s="77" t="n">
        <f aca="false">Actuals!I19</f>
        <v>218360</v>
      </c>
    </row>
    <row r="273" customFormat="false" ht="15" hidden="false" customHeight="false" outlineLevel="0" collapsed="false">
      <c r="A273" s="76" t="n">
        <v>46235</v>
      </c>
      <c r="B273" s="5" t="s">
        <v>59</v>
      </c>
      <c r="C273" s="5" t="n">
        <v>6</v>
      </c>
      <c r="D273" s="5" t="s">
        <v>282</v>
      </c>
      <c r="E273" s="77" t="n">
        <f aca="false">Actuals!I20</f>
        <v>94748</v>
      </c>
    </row>
    <row r="274" customFormat="false" ht="15" hidden="false" customHeight="false" outlineLevel="0" collapsed="false">
      <c r="A274" s="76" t="n">
        <v>46235</v>
      </c>
      <c r="B274" s="5" t="s">
        <v>59</v>
      </c>
      <c r="C274" s="5" t="n">
        <v>7</v>
      </c>
      <c r="D274" s="5" t="s">
        <v>282</v>
      </c>
      <c r="E274" s="77" t="n">
        <f aca="false">Actuals!I26</f>
        <v>294480</v>
      </c>
    </row>
    <row r="275" customFormat="false" ht="15" hidden="false" customHeight="false" outlineLevel="0" collapsed="false">
      <c r="A275" s="76" t="n">
        <v>46235</v>
      </c>
      <c r="B275" s="5" t="s">
        <v>59</v>
      </c>
      <c r="C275" s="5" t="n">
        <v>8</v>
      </c>
      <c r="D275" s="5" t="s">
        <v>282</v>
      </c>
      <c r="E275" s="77" t="n">
        <f aca="false">Actuals!I27</f>
        <v>183500</v>
      </c>
    </row>
    <row r="276" customFormat="false" ht="15" hidden="false" customHeight="false" outlineLevel="0" collapsed="false">
      <c r="A276" s="76" t="n">
        <v>46235</v>
      </c>
      <c r="B276" s="5" t="s">
        <v>59</v>
      </c>
      <c r="C276" s="5" t="n">
        <v>9</v>
      </c>
      <c r="D276" s="5" t="s">
        <v>282</v>
      </c>
      <c r="E276" s="77" t="n">
        <f aca="false">Actuals!I28</f>
        <v>64100</v>
      </c>
    </row>
    <row r="277" customFormat="false" ht="15" hidden="false" customHeight="false" outlineLevel="0" collapsed="false">
      <c r="A277" s="76" t="n">
        <v>46235</v>
      </c>
      <c r="B277" s="5" t="s">
        <v>59</v>
      </c>
      <c r="C277" s="5" t="n">
        <v>10</v>
      </c>
      <c r="D277" s="5" t="s">
        <v>282</v>
      </c>
      <c r="E277" s="77" t="n">
        <f aca="false">Actuals!I29</f>
        <v>44500</v>
      </c>
    </row>
    <row r="278" customFormat="false" ht="15" hidden="false" customHeight="false" outlineLevel="0" collapsed="false">
      <c r="A278" s="76" t="n">
        <v>46235</v>
      </c>
      <c r="B278" s="5" t="s">
        <v>59</v>
      </c>
      <c r="C278" s="5" t="n">
        <v>11</v>
      </c>
      <c r="D278" s="5" t="s">
        <v>282</v>
      </c>
      <c r="E278" s="77" t="n">
        <f aca="false">Actuals!I30</f>
        <v>22800</v>
      </c>
    </row>
    <row r="279" customFormat="false" ht="15" hidden="false" customHeight="false" outlineLevel="0" collapsed="false">
      <c r="A279" s="76" t="n">
        <v>46235</v>
      </c>
      <c r="B279" s="5" t="s">
        <v>59</v>
      </c>
      <c r="C279" s="5" t="n">
        <v>12</v>
      </c>
      <c r="D279" s="5" t="s">
        <v>282</v>
      </c>
      <c r="E279" s="77" t="n">
        <f aca="false">Actuals!I31</f>
        <v>13000</v>
      </c>
    </row>
    <row r="280" customFormat="false" ht="15" hidden="false" customHeight="false" outlineLevel="0" collapsed="false">
      <c r="A280" s="76" t="n">
        <v>46235</v>
      </c>
      <c r="B280" s="5" t="s">
        <v>59</v>
      </c>
      <c r="C280" s="5" t="n">
        <v>13</v>
      </c>
      <c r="D280" s="5" t="s">
        <v>282</v>
      </c>
      <c r="E280" s="77" t="n">
        <f aca="false">Actuals!I32</f>
        <v>12960</v>
      </c>
    </row>
    <row r="281" customFormat="false" ht="15" hidden="false" customHeight="false" outlineLevel="0" collapsed="false">
      <c r="A281" s="76" t="n">
        <v>46235</v>
      </c>
      <c r="B281" s="5" t="s">
        <v>59</v>
      </c>
      <c r="C281" s="5" t="n">
        <v>14</v>
      </c>
      <c r="D281" s="5" t="s">
        <v>282</v>
      </c>
      <c r="E281" s="77" t="n">
        <f aca="false">Actuals!I33</f>
        <v>18400</v>
      </c>
    </row>
    <row r="282" customFormat="false" ht="15" hidden="false" customHeight="false" outlineLevel="0" collapsed="false">
      <c r="A282" s="76" t="n">
        <v>46266</v>
      </c>
      <c r="B282" s="5" t="s">
        <v>59</v>
      </c>
      <c r="C282" s="5" t="n">
        <v>1</v>
      </c>
      <c r="D282" s="5" t="s">
        <v>66</v>
      </c>
      <c r="E282" s="77" t="n">
        <f aca="false">Actuals!J12</f>
        <v>784486</v>
      </c>
    </row>
    <row r="283" customFormat="false" ht="15" hidden="false" customHeight="false" outlineLevel="0" collapsed="false">
      <c r="A283" s="76" t="n">
        <v>46266</v>
      </c>
      <c r="B283" s="5" t="s">
        <v>59</v>
      </c>
      <c r="C283" s="5" t="n">
        <v>2</v>
      </c>
      <c r="D283" s="5" t="s">
        <v>67</v>
      </c>
      <c r="E283" s="77" t="n">
        <f aca="false">Actuals!J13</f>
        <v>639894</v>
      </c>
    </row>
    <row r="284" customFormat="false" ht="15" hidden="false" customHeight="false" outlineLevel="0" collapsed="false">
      <c r="A284" s="76" t="n">
        <v>46266</v>
      </c>
      <c r="B284" s="5" t="s">
        <v>59</v>
      </c>
      <c r="C284" s="5" t="n">
        <v>3</v>
      </c>
      <c r="D284" s="5" t="s">
        <v>68</v>
      </c>
      <c r="E284" s="77" t="n">
        <f aca="false">Actuals!J14</f>
        <v>606778</v>
      </c>
    </row>
    <row r="285" customFormat="false" ht="15" hidden="false" customHeight="false" outlineLevel="0" collapsed="false">
      <c r="A285" s="76" t="n">
        <v>46266</v>
      </c>
      <c r="B285" s="5" t="s">
        <v>59</v>
      </c>
      <c r="C285" s="5" t="n">
        <v>4</v>
      </c>
      <c r="D285" s="5" t="s">
        <v>282</v>
      </c>
      <c r="E285" s="77" t="n">
        <f aca="false">Actuals!J18</f>
        <v>754390</v>
      </c>
    </row>
    <row r="286" customFormat="false" ht="15" hidden="false" customHeight="false" outlineLevel="0" collapsed="false">
      <c r="A286" s="76" t="n">
        <v>46266</v>
      </c>
      <c r="B286" s="5" t="s">
        <v>59</v>
      </c>
      <c r="C286" s="5" t="n">
        <v>5</v>
      </c>
      <c r="D286" s="5" t="s">
        <v>282</v>
      </c>
      <c r="E286" s="77" t="n">
        <f aca="false">Actuals!J19</f>
        <v>236119</v>
      </c>
    </row>
    <row r="287" customFormat="false" ht="15" hidden="false" customHeight="false" outlineLevel="0" collapsed="false">
      <c r="A287" s="76" t="n">
        <v>46266</v>
      </c>
      <c r="B287" s="5" t="s">
        <v>59</v>
      </c>
      <c r="C287" s="5" t="n">
        <v>6</v>
      </c>
      <c r="D287" s="5" t="s">
        <v>282</v>
      </c>
      <c r="E287" s="77" t="n">
        <f aca="false">Actuals!J20</f>
        <v>103589</v>
      </c>
    </row>
    <row r="288" customFormat="false" ht="15" hidden="false" customHeight="false" outlineLevel="0" collapsed="false">
      <c r="A288" s="76" t="n">
        <v>46266</v>
      </c>
      <c r="B288" s="5" t="s">
        <v>59</v>
      </c>
      <c r="C288" s="5" t="n">
        <v>7</v>
      </c>
      <c r="D288" s="5" t="s">
        <v>282</v>
      </c>
      <c r="E288" s="77" t="n">
        <f aca="false">Actuals!J26</f>
        <v>295020</v>
      </c>
    </row>
    <row r="289" customFormat="false" ht="15" hidden="false" customHeight="false" outlineLevel="0" collapsed="false">
      <c r="A289" s="76" t="n">
        <v>46266</v>
      </c>
      <c r="B289" s="5" t="s">
        <v>59</v>
      </c>
      <c r="C289" s="5" t="n">
        <v>8</v>
      </c>
      <c r="D289" s="5" t="s">
        <v>282</v>
      </c>
      <c r="E289" s="77" t="n">
        <f aca="false">Actuals!J27</f>
        <v>186800</v>
      </c>
    </row>
    <row r="290" customFormat="false" ht="15" hidden="false" customHeight="false" outlineLevel="0" collapsed="false">
      <c r="A290" s="76" t="n">
        <v>46266</v>
      </c>
      <c r="B290" s="5" t="s">
        <v>59</v>
      </c>
      <c r="C290" s="5" t="n">
        <v>9</v>
      </c>
      <c r="D290" s="5" t="s">
        <v>282</v>
      </c>
      <c r="E290" s="77" t="n">
        <f aca="false">Actuals!J28</f>
        <v>64100</v>
      </c>
    </row>
    <row r="291" customFormat="false" ht="15" hidden="false" customHeight="false" outlineLevel="0" collapsed="false">
      <c r="A291" s="76" t="n">
        <v>46266</v>
      </c>
      <c r="B291" s="5" t="s">
        <v>59</v>
      </c>
      <c r="C291" s="5" t="n">
        <v>10</v>
      </c>
      <c r="D291" s="5" t="s">
        <v>282</v>
      </c>
      <c r="E291" s="77" t="n">
        <f aca="false">Actuals!J29</f>
        <v>44720</v>
      </c>
    </row>
    <row r="292" customFormat="false" ht="15" hidden="false" customHeight="false" outlineLevel="0" collapsed="false">
      <c r="A292" s="76" t="n">
        <v>46266</v>
      </c>
      <c r="B292" s="5" t="s">
        <v>59</v>
      </c>
      <c r="C292" s="5" t="n">
        <v>11</v>
      </c>
      <c r="D292" s="5" t="s">
        <v>282</v>
      </c>
      <c r="E292" s="77" t="n">
        <f aca="false">Actuals!J30</f>
        <v>23500</v>
      </c>
    </row>
    <row r="293" customFormat="false" ht="15" hidden="false" customHeight="false" outlineLevel="0" collapsed="false">
      <c r="A293" s="76" t="n">
        <v>46266</v>
      </c>
      <c r="B293" s="5" t="s">
        <v>59</v>
      </c>
      <c r="C293" s="5" t="n">
        <v>12</v>
      </c>
      <c r="D293" s="5" t="s">
        <v>282</v>
      </c>
      <c r="E293" s="77" t="n">
        <f aca="false">Actuals!J31</f>
        <v>12600</v>
      </c>
    </row>
    <row r="294" customFormat="false" ht="15" hidden="false" customHeight="false" outlineLevel="0" collapsed="false">
      <c r="A294" s="76" t="n">
        <v>46266</v>
      </c>
      <c r="B294" s="5" t="s">
        <v>59</v>
      </c>
      <c r="C294" s="5" t="n">
        <v>13</v>
      </c>
      <c r="D294" s="5" t="s">
        <v>282</v>
      </c>
      <c r="E294" s="77" t="n">
        <f aca="false">Actuals!J32</f>
        <v>12960</v>
      </c>
    </row>
    <row r="295" customFormat="false" ht="15" hidden="false" customHeight="false" outlineLevel="0" collapsed="false">
      <c r="A295" s="76" t="n">
        <v>46266</v>
      </c>
      <c r="B295" s="5" t="s">
        <v>59</v>
      </c>
      <c r="C295" s="5" t="n">
        <v>14</v>
      </c>
      <c r="D295" s="5" t="s">
        <v>282</v>
      </c>
      <c r="E295" s="77" t="n">
        <f aca="false">Actuals!J33</f>
        <v>19000</v>
      </c>
    </row>
    <row r="296" customFormat="false" ht="15" hidden="false" customHeight="false" outlineLevel="0" collapsed="false">
      <c r="A296" s="76" t="n">
        <v>46023</v>
      </c>
      <c r="B296" s="5" t="s">
        <v>18</v>
      </c>
      <c r="C296" s="5" t="n">
        <v>1</v>
      </c>
      <c r="D296" s="5" t="s">
        <v>66</v>
      </c>
      <c r="E296" s="77" t="n">
        <f aca="false">Forecast!B12</f>
        <v>567216</v>
      </c>
    </row>
    <row r="297" customFormat="false" ht="15" hidden="false" customHeight="false" outlineLevel="0" collapsed="false">
      <c r="A297" s="76" t="n">
        <v>46023</v>
      </c>
      <c r="B297" s="5" t="s">
        <v>18</v>
      </c>
      <c r="C297" s="5" t="n">
        <v>2</v>
      </c>
      <c r="D297" s="5" t="s">
        <v>67</v>
      </c>
      <c r="E297" s="77" t="n">
        <f aca="false">Forecast!B13</f>
        <v>507000</v>
      </c>
    </row>
    <row r="298" customFormat="false" ht="15" hidden="false" customHeight="false" outlineLevel="0" collapsed="false">
      <c r="A298" s="76" t="n">
        <v>46023</v>
      </c>
      <c r="B298" s="5" t="s">
        <v>18</v>
      </c>
      <c r="C298" s="5" t="n">
        <v>3</v>
      </c>
      <c r="D298" s="5" t="s">
        <v>68</v>
      </c>
      <c r="E298" s="77" t="n">
        <f aca="false">Forecast!B14</f>
        <v>424710</v>
      </c>
    </row>
    <row r="299" customFormat="false" ht="15" hidden="false" customHeight="false" outlineLevel="0" collapsed="false">
      <c r="A299" s="76" t="n">
        <v>46023</v>
      </c>
      <c r="B299" s="5" t="s">
        <v>18</v>
      </c>
      <c r="C299" s="5" t="n">
        <v>4</v>
      </c>
      <c r="D299" s="5" t="s">
        <v>282</v>
      </c>
      <c r="E299" s="77" t="n">
        <f aca="false">Forecast!B18</f>
        <v>545964</v>
      </c>
    </row>
    <row r="300" customFormat="false" ht="15" hidden="false" customHeight="false" outlineLevel="0" collapsed="false">
      <c r="A300" s="76" t="n">
        <v>46023</v>
      </c>
      <c r="B300" s="5" t="s">
        <v>18</v>
      </c>
      <c r="C300" s="5" t="n">
        <v>5</v>
      </c>
      <c r="D300" s="5" t="s">
        <v>282</v>
      </c>
      <c r="E300" s="77" t="n">
        <f aca="false">Forecast!B19</f>
        <v>171678</v>
      </c>
    </row>
    <row r="301" customFormat="false" ht="15" hidden="false" customHeight="false" outlineLevel="0" collapsed="false">
      <c r="A301" s="76" t="n">
        <v>46023</v>
      </c>
      <c r="B301" s="5" t="s">
        <v>18</v>
      </c>
      <c r="C301" s="5" t="n">
        <v>6</v>
      </c>
      <c r="D301" s="5" t="s">
        <v>282</v>
      </c>
      <c r="E301" s="77" t="n">
        <f aca="false">Forecast!B20</f>
        <v>67452</v>
      </c>
    </row>
    <row r="302" customFormat="false" ht="15" hidden="false" customHeight="false" outlineLevel="0" collapsed="false">
      <c r="A302" s="76" t="n">
        <v>46023</v>
      </c>
      <c r="B302" s="5" t="s">
        <v>18</v>
      </c>
      <c r="C302" s="5" t="n">
        <v>7</v>
      </c>
      <c r="D302" s="5" t="s">
        <v>282</v>
      </c>
      <c r="E302" s="77" t="n">
        <f aca="false">Forecast!B26</f>
        <v>284100</v>
      </c>
    </row>
    <row r="303" customFormat="false" ht="15" hidden="false" customHeight="false" outlineLevel="0" collapsed="false">
      <c r="A303" s="76" t="n">
        <v>46023</v>
      </c>
      <c r="B303" s="5" t="s">
        <v>18</v>
      </c>
      <c r="C303" s="5" t="n">
        <v>8</v>
      </c>
      <c r="D303" s="5" t="s">
        <v>282</v>
      </c>
      <c r="E303" s="77" t="n">
        <f aca="false">Forecast!B27</f>
        <v>134800</v>
      </c>
    </row>
    <row r="304" customFormat="false" ht="15" hidden="false" customHeight="false" outlineLevel="0" collapsed="false">
      <c r="A304" s="76" t="n">
        <v>46023</v>
      </c>
      <c r="B304" s="5" t="s">
        <v>18</v>
      </c>
      <c r="C304" s="5" t="n">
        <v>9</v>
      </c>
      <c r="D304" s="5" t="s">
        <v>282</v>
      </c>
      <c r="E304" s="77" t="n">
        <f aca="false">Forecast!B28</f>
        <v>62000</v>
      </c>
    </row>
    <row r="305" customFormat="false" ht="15" hidden="false" customHeight="false" outlineLevel="0" collapsed="false">
      <c r="A305" s="76" t="n">
        <v>46023</v>
      </c>
      <c r="B305" s="5" t="s">
        <v>18</v>
      </c>
      <c r="C305" s="5" t="n">
        <v>10</v>
      </c>
      <c r="D305" s="5" t="s">
        <v>282</v>
      </c>
      <c r="E305" s="77" t="n">
        <f aca="false">Forecast!B29</f>
        <v>37600</v>
      </c>
    </row>
    <row r="306" customFormat="false" ht="15" hidden="false" customHeight="false" outlineLevel="0" collapsed="false">
      <c r="A306" s="76" t="n">
        <v>46023</v>
      </c>
      <c r="B306" s="5" t="s">
        <v>18</v>
      </c>
      <c r="C306" s="5" t="n">
        <v>11</v>
      </c>
      <c r="D306" s="5" t="s">
        <v>282</v>
      </c>
      <c r="E306" s="77" t="n">
        <f aca="false">Forecast!B30</f>
        <v>21500</v>
      </c>
    </row>
    <row r="307" customFormat="false" ht="15" hidden="false" customHeight="false" outlineLevel="0" collapsed="false">
      <c r="A307" s="76" t="n">
        <v>46023</v>
      </c>
      <c r="B307" s="5" t="s">
        <v>18</v>
      </c>
      <c r="C307" s="5" t="n">
        <v>12</v>
      </c>
      <c r="D307" s="5" t="s">
        <v>282</v>
      </c>
      <c r="E307" s="77" t="n">
        <f aca="false">Forecast!B31</f>
        <v>11200</v>
      </c>
    </row>
    <row r="308" customFormat="false" ht="15" hidden="false" customHeight="false" outlineLevel="0" collapsed="false">
      <c r="A308" s="76" t="n">
        <v>46023</v>
      </c>
      <c r="B308" s="5" t="s">
        <v>18</v>
      </c>
      <c r="C308" s="5" t="n">
        <v>13</v>
      </c>
      <c r="D308" s="5" t="s">
        <v>282</v>
      </c>
      <c r="E308" s="77" t="n">
        <f aca="false">Forecast!B32</f>
        <v>12000</v>
      </c>
    </row>
    <row r="309" customFormat="false" ht="15" hidden="false" customHeight="false" outlineLevel="0" collapsed="false">
      <c r="A309" s="76" t="n">
        <v>46023</v>
      </c>
      <c r="B309" s="5" t="s">
        <v>18</v>
      </c>
      <c r="C309" s="5" t="n">
        <v>14</v>
      </c>
      <c r="D309" s="5" t="s">
        <v>282</v>
      </c>
      <c r="E309" s="77" t="n">
        <f aca="false">Forecast!B33</f>
        <v>17400</v>
      </c>
    </row>
    <row r="310" customFormat="false" ht="15" hidden="false" customHeight="false" outlineLevel="0" collapsed="false">
      <c r="A310" s="76" t="n">
        <v>46054</v>
      </c>
      <c r="B310" s="5" t="s">
        <v>18</v>
      </c>
      <c r="C310" s="5" t="n">
        <v>1</v>
      </c>
      <c r="D310" s="5" t="s">
        <v>66</v>
      </c>
      <c r="E310" s="77" t="n">
        <f aca="false">Forecast!C12</f>
        <v>555984</v>
      </c>
    </row>
    <row r="311" customFormat="false" ht="15" hidden="false" customHeight="false" outlineLevel="0" collapsed="false">
      <c r="A311" s="76" t="n">
        <v>46054</v>
      </c>
      <c r="B311" s="5" t="s">
        <v>18</v>
      </c>
      <c r="C311" s="5" t="n">
        <v>2</v>
      </c>
      <c r="D311" s="5" t="s">
        <v>67</v>
      </c>
      <c r="E311" s="77" t="n">
        <f aca="false">Forecast!C13</f>
        <v>496860</v>
      </c>
    </row>
    <row r="312" customFormat="false" ht="15" hidden="false" customHeight="false" outlineLevel="0" collapsed="false">
      <c r="A312" s="76" t="n">
        <v>46054</v>
      </c>
      <c r="B312" s="5" t="s">
        <v>18</v>
      </c>
      <c r="C312" s="5" t="n">
        <v>3</v>
      </c>
      <c r="D312" s="5" t="s">
        <v>68</v>
      </c>
      <c r="E312" s="77" t="n">
        <f aca="false">Forecast!C14</f>
        <v>437580</v>
      </c>
    </row>
    <row r="313" customFormat="false" ht="15" hidden="false" customHeight="false" outlineLevel="0" collapsed="false">
      <c r="A313" s="76" t="n">
        <v>46054</v>
      </c>
      <c r="B313" s="5" t="s">
        <v>18</v>
      </c>
      <c r="C313" s="5" t="n">
        <v>4</v>
      </c>
      <c r="D313" s="5" t="s">
        <v>282</v>
      </c>
      <c r="E313" s="77" t="n">
        <f aca="false">Forecast!C18</f>
        <v>543127</v>
      </c>
    </row>
    <row r="314" customFormat="false" ht="15" hidden="false" customHeight="false" outlineLevel="0" collapsed="false">
      <c r="A314" s="76" t="n">
        <v>46054</v>
      </c>
      <c r="B314" s="5" t="s">
        <v>18</v>
      </c>
      <c r="C314" s="5" t="n">
        <v>5</v>
      </c>
      <c r="D314" s="5" t="s">
        <v>282</v>
      </c>
      <c r="E314" s="77" t="n">
        <f aca="false">Forecast!C19</f>
        <v>170781</v>
      </c>
    </row>
    <row r="315" customFormat="false" ht="15" hidden="false" customHeight="false" outlineLevel="0" collapsed="false">
      <c r="A315" s="76" t="n">
        <v>46054</v>
      </c>
      <c r="B315" s="5" t="s">
        <v>18</v>
      </c>
      <c r="C315" s="5" t="n">
        <v>6</v>
      </c>
      <c r="D315" s="5" t="s">
        <v>282</v>
      </c>
      <c r="E315" s="77" t="n">
        <f aca="false">Forecast!C20</f>
        <v>68560</v>
      </c>
    </row>
    <row r="316" customFormat="false" ht="15" hidden="false" customHeight="false" outlineLevel="0" collapsed="false">
      <c r="A316" s="76" t="n">
        <v>46054</v>
      </c>
      <c r="B316" s="5" t="s">
        <v>18</v>
      </c>
      <c r="C316" s="5" t="n">
        <v>7</v>
      </c>
      <c r="D316" s="5" t="s">
        <v>282</v>
      </c>
      <c r="E316" s="77" t="n">
        <f aca="false">Forecast!C26</f>
        <v>272300</v>
      </c>
    </row>
    <row r="317" customFormat="false" ht="15" hidden="false" customHeight="false" outlineLevel="0" collapsed="false">
      <c r="A317" s="76" t="n">
        <v>46054</v>
      </c>
      <c r="B317" s="5" t="s">
        <v>18</v>
      </c>
      <c r="C317" s="5" t="n">
        <v>8</v>
      </c>
      <c r="D317" s="5" t="s">
        <v>282</v>
      </c>
      <c r="E317" s="77" t="n">
        <f aca="false">Forecast!C27</f>
        <v>132100</v>
      </c>
    </row>
    <row r="318" customFormat="false" ht="15" hidden="false" customHeight="false" outlineLevel="0" collapsed="false">
      <c r="A318" s="76" t="n">
        <v>46054</v>
      </c>
      <c r="B318" s="5" t="s">
        <v>18</v>
      </c>
      <c r="C318" s="5" t="n">
        <v>9</v>
      </c>
      <c r="D318" s="5" t="s">
        <v>282</v>
      </c>
      <c r="E318" s="77" t="n">
        <f aca="false">Forecast!C28</f>
        <v>62000</v>
      </c>
    </row>
    <row r="319" customFormat="false" ht="15" hidden="false" customHeight="false" outlineLevel="0" collapsed="false">
      <c r="A319" s="76" t="n">
        <v>46054</v>
      </c>
      <c r="B319" s="5" t="s">
        <v>18</v>
      </c>
      <c r="C319" s="5" t="n">
        <v>10</v>
      </c>
      <c r="D319" s="5" t="s">
        <v>282</v>
      </c>
      <c r="E319" s="77" t="n">
        <f aca="false">Forecast!C29</f>
        <v>38200</v>
      </c>
    </row>
    <row r="320" customFormat="false" ht="15" hidden="false" customHeight="false" outlineLevel="0" collapsed="false">
      <c r="A320" s="76" t="n">
        <v>46054</v>
      </c>
      <c r="B320" s="5" t="s">
        <v>18</v>
      </c>
      <c r="C320" s="5" t="n">
        <v>11</v>
      </c>
      <c r="D320" s="5" t="s">
        <v>282</v>
      </c>
      <c r="E320" s="77" t="n">
        <f aca="false">Forecast!C30</f>
        <v>23100</v>
      </c>
    </row>
    <row r="321" customFormat="false" ht="15" hidden="false" customHeight="false" outlineLevel="0" collapsed="false">
      <c r="A321" s="76" t="n">
        <v>46054</v>
      </c>
      <c r="B321" s="5" t="s">
        <v>18</v>
      </c>
      <c r="C321" s="5" t="n">
        <v>12</v>
      </c>
      <c r="D321" s="5" t="s">
        <v>282</v>
      </c>
      <c r="E321" s="77" t="n">
        <f aca="false">Forecast!C31</f>
        <v>12500</v>
      </c>
    </row>
    <row r="322" customFormat="false" ht="15" hidden="false" customHeight="false" outlineLevel="0" collapsed="false">
      <c r="A322" s="76" t="n">
        <v>46054</v>
      </c>
      <c r="B322" s="5" t="s">
        <v>18</v>
      </c>
      <c r="C322" s="5" t="n">
        <v>13</v>
      </c>
      <c r="D322" s="5" t="s">
        <v>282</v>
      </c>
      <c r="E322" s="77" t="n">
        <f aca="false">Forecast!C32</f>
        <v>12000</v>
      </c>
    </row>
    <row r="323" customFormat="false" ht="15" hidden="false" customHeight="false" outlineLevel="0" collapsed="false">
      <c r="A323" s="76" t="n">
        <v>46054</v>
      </c>
      <c r="B323" s="5" t="s">
        <v>18</v>
      </c>
      <c r="C323" s="5" t="n">
        <v>14</v>
      </c>
      <c r="D323" s="5" t="s">
        <v>282</v>
      </c>
      <c r="E323" s="77" t="n">
        <f aca="false">Forecast!C33</f>
        <v>18900</v>
      </c>
    </row>
    <row r="324" customFormat="false" ht="15" hidden="false" customHeight="false" outlineLevel="0" collapsed="false">
      <c r="A324" s="76" t="n">
        <v>46082</v>
      </c>
      <c r="B324" s="5" t="s">
        <v>18</v>
      </c>
      <c r="C324" s="5" t="n">
        <v>1</v>
      </c>
      <c r="D324" s="5" t="s">
        <v>66</v>
      </c>
      <c r="E324" s="77" t="n">
        <f aca="false">Forecast!D12</f>
        <v>653702</v>
      </c>
    </row>
    <row r="325" customFormat="false" ht="15" hidden="false" customHeight="false" outlineLevel="0" collapsed="false">
      <c r="A325" s="76" t="n">
        <v>46082</v>
      </c>
      <c r="B325" s="5" t="s">
        <v>18</v>
      </c>
      <c r="C325" s="5" t="n">
        <v>2</v>
      </c>
      <c r="D325" s="5" t="s">
        <v>67</v>
      </c>
      <c r="E325" s="77" t="n">
        <f aca="false">Forecast!D13</f>
        <v>579150</v>
      </c>
    </row>
    <row r="326" customFormat="false" ht="15" hidden="false" customHeight="false" outlineLevel="0" collapsed="false">
      <c r="A326" s="76" t="n">
        <v>46082</v>
      </c>
      <c r="B326" s="5" t="s">
        <v>18</v>
      </c>
      <c r="C326" s="5" t="n">
        <v>3</v>
      </c>
      <c r="D326" s="5" t="s">
        <v>68</v>
      </c>
      <c r="E326" s="77" t="n">
        <f aca="false">Forecast!D14</f>
        <v>509850</v>
      </c>
    </row>
    <row r="327" customFormat="false" ht="15" hidden="false" customHeight="false" outlineLevel="0" collapsed="false">
      <c r="A327" s="76" t="n">
        <v>46082</v>
      </c>
      <c r="B327" s="5" t="s">
        <v>18</v>
      </c>
      <c r="C327" s="5" t="n">
        <v>4</v>
      </c>
      <c r="D327" s="5" t="s">
        <v>282</v>
      </c>
      <c r="E327" s="77" t="n">
        <f aca="false">Forecast!D18</f>
        <v>642069</v>
      </c>
    </row>
    <row r="328" customFormat="false" ht="15" hidden="false" customHeight="false" outlineLevel="0" collapsed="false">
      <c r="A328" s="76" t="n">
        <v>46082</v>
      </c>
      <c r="B328" s="5" t="s">
        <v>18</v>
      </c>
      <c r="C328" s="5" t="n">
        <v>5</v>
      </c>
      <c r="D328" s="5" t="s">
        <v>282</v>
      </c>
      <c r="E328" s="77" t="n">
        <f aca="false">Forecast!D19</f>
        <v>201735</v>
      </c>
    </row>
    <row r="329" customFormat="false" ht="15" hidden="false" customHeight="false" outlineLevel="0" collapsed="false">
      <c r="A329" s="76" t="n">
        <v>46082</v>
      </c>
      <c r="B329" s="5" t="s">
        <v>18</v>
      </c>
      <c r="C329" s="5" t="n">
        <v>6</v>
      </c>
      <c r="D329" s="5" t="s">
        <v>282</v>
      </c>
      <c r="E329" s="77" t="n">
        <f aca="false">Forecast!D20</f>
        <v>81907</v>
      </c>
    </row>
    <row r="330" customFormat="false" ht="15" hidden="false" customHeight="false" outlineLevel="0" collapsed="false">
      <c r="A330" s="76" t="n">
        <v>46082</v>
      </c>
      <c r="B330" s="5" t="s">
        <v>18</v>
      </c>
      <c r="C330" s="5" t="n">
        <v>7</v>
      </c>
      <c r="D330" s="5" t="s">
        <v>282</v>
      </c>
      <c r="E330" s="77" t="n">
        <f aca="false">Forecast!D26</f>
        <v>270450</v>
      </c>
    </row>
    <row r="331" customFormat="false" ht="15" hidden="false" customHeight="false" outlineLevel="0" collapsed="false">
      <c r="A331" s="76" t="n">
        <v>46082</v>
      </c>
      <c r="B331" s="5" t="s">
        <v>18</v>
      </c>
      <c r="C331" s="5" t="n">
        <v>8</v>
      </c>
      <c r="D331" s="5" t="s">
        <v>282</v>
      </c>
      <c r="E331" s="77" t="n">
        <f aca="false">Forecast!D27</f>
        <v>199100</v>
      </c>
    </row>
    <row r="332" customFormat="false" ht="15" hidden="false" customHeight="false" outlineLevel="0" collapsed="false">
      <c r="A332" s="76" t="n">
        <v>46082</v>
      </c>
      <c r="B332" s="5" t="s">
        <v>18</v>
      </c>
      <c r="C332" s="5" t="n">
        <v>9</v>
      </c>
      <c r="D332" s="5" t="s">
        <v>282</v>
      </c>
      <c r="E332" s="77" t="n">
        <f aca="false">Forecast!D28</f>
        <v>62000</v>
      </c>
    </row>
    <row r="333" customFormat="false" ht="15" hidden="false" customHeight="false" outlineLevel="0" collapsed="false">
      <c r="A333" s="76" t="n">
        <v>46082</v>
      </c>
      <c r="B333" s="5" t="s">
        <v>18</v>
      </c>
      <c r="C333" s="5" t="n">
        <v>10</v>
      </c>
      <c r="D333" s="5" t="s">
        <v>282</v>
      </c>
      <c r="E333" s="77" t="n">
        <f aca="false">Forecast!D29</f>
        <v>38400</v>
      </c>
    </row>
    <row r="334" customFormat="false" ht="15" hidden="false" customHeight="false" outlineLevel="0" collapsed="false">
      <c r="A334" s="76" t="n">
        <v>46082</v>
      </c>
      <c r="B334" s="5" t="s">
        <v>18</v>
      </c>
      <c r="C334" s="5" t="n">
        <v>11</v>
      </c>
      <c r="D334" s="5" t="s">
        <v>282</v>
      </c>
      <c r="E334" s="77" t="n">
        <f aca="false">Forecast!D30</f>
        <v>22400</v>
      </c>
    </row>
    <row r="335" customFormat="false" ht="15" hidden="false" customHeight="false" outlineLevel="0" collapsed="false">
      <c r="A335" s="76" t="n">
        <v>46082</v>
      </c>
      <c r="B335" s="5" t="s">
        <v>18</v>
      </c>
      <c r="C335" s="5" t="n">
        <v>12</v>
      </c>
      <c r="D335" s="5" t="s">
        <v>282</v>
      </c>
      <c r="E335" s="77" t="n">
        <f aca="false">Forecast!D31</f>
        <v>16800</v>
      </c>
    </row>
    <row r="336" customFormat="false" ht="15" hidden="false" customHeight="false" outlineLevel="0" collapsed="false">
      <c r="A336" s="76" t="n">
        <v>46082</v>
      </c>
      <c r="B336" s="5" t="s">
        <v>18</v>
      </c>
      <c r="C336" s="5" t="n">
        <v>13</v>
      </c>
      <c r="D336" s="5" t="s">
        <v>282</v>
      </c>
      <c r="E336" s="77" t="n">
        <f aca="false">Forecast!D32</f>
        <v>12000</v>
      </c>
    </row>
    <row r="337" customFormat="false" ht="15" hidden="false" customHeight="false" outlineLevel="0" collapsed="false">
      <c r="A337" s="76" t="n">
        <v>46082</v>
      </c>
      <c r="B337" s="5" t="s">
        <v>18</v>
      </c>
      <c r="C337" s="5" t="n">
        <v>14</v>
      </c>
      <c r="D337" s="5" t="s">
        <v>282</v>
      </c>
      <c r="E337" s="77" t="n">
        <f aca="false">Forecast!D33</f>
        <v>19600</v>
      </c>
    </row>
    <row r="338" customFormat="false" ht="15" hidden="false" customHeight="false" outlineLevel="0" collapsed="false">
      <c r="A338" s="76" t="n">
        <v>46113</v>
      </c>
      <c r="B338" s="5" t="s">
        <v>18</v>
      </c>
      <c r="C338" s="5" t="n">
        <v>1</v>
      </c>
      <c r="D338" s="5" t="s">
        <v>66</v>
      </c>
      <c r="E338" s="77" t="n">
        <f aca="false">Forecast!E12</f>
        <v>678845</v>
      </c>
    </row>
    <row r="339" customFormat="false" ht="15" hidden="false" customHeight="false" outlineLevel="0" collapsed="false">
      <c r="A339" s="76" t="n">
        <v>46113</v>
      </c>
      <c r="B339" s="5" t="s">
        <v>18</v>
      </c>
      <c r="C339" s="5" t="n">
        <v>2</v>
      </c>
      <c r="D339" s="5" t="s">
        <v>67</v>
      </c>
      <c r="E339" s="77" t="n">
        <f aca="false">Forecast!E13</f>
        <v>573124</v>
      </c>
    </row>
    <row r="340" customFormat="false" ht="15" hidden="false" customHeight="false" outlineLevel="0" collapsed="false">
      <c r="A340" s="76" t="n">
        <v>46113</v>
      </c>
      <c r="B340" s="5" t="s">
        <v>18</v>
      </c>
      <c r="C340" s="5" t="n">
        <v>3</v>
      </c>
      <c r="D340" s="5" t="s">
        <v>68</v>
      </c>
      <c r="E340" s="77" t="n">
        <f aca="false">Forecast!E14</f>
        <v>519948</v>
      </c>
    </row>
    <row r="341" customFormat="false" ht="15" hidden="false" customHeight="false" outlineLevel="0" collapsed="false">
      <c r="A341" s="76" t="n">
        <v>46113</v>
      </c>
      <c r="B341" s="5" t="s">
        <v>18</v>
      </c>
      <c r="C341" s="5" t="n">
        <v>4</v>
      </c>
      <c r="D341" s="5" t="s">
        <v>282</v>
      </c>
      <c r="E341" s="77" t="n">
        <f aca="false">Forecast!E18</f>
        <v>653586</v>
      </c>
    </row>
    <row r="342" customFormat="false" ht="15" hidden="false" customHeight="false" outlineLevel="0" collapsed="false">
      <c r="A342" s="76" t="n">
        <v>46113</v>
      </c>
      <c r="B342" s="5" t="s">
        <v>18</v>
      </c>
      <c r="C342" s="5" t="n">
        <v>5</v>
      </c>
      <c r="D342" s="5" t="s">
        <v>282</v>
      </c>
      <c r="E342" s="77" t="n">
        <f aca="false">Forecast!E19</f>
        <v>201825</v>
      </c>
    </row>
    <row r="343" customFormat="false" ht="15" hidden="false" customHeight="false" outlineLevel="0" collapsed="false">
      <c r="A343" s="76" t="n">
        <v>46113</v>
      </c>
      <c r="B343" s="5" t="s">
        <v>18</v>
      </c>
      <c r="C343" s="5" t="n">
        <v>6</v>
      </c>
      <c r="D343" s="5" t="s">
        <v>282</v>
      </c>
      <c r="E343" s="77" t="n">
        <f aca="false">Forecast!E20</f>
        <v>85052</v>
      </c>
    </row>
    <row r="344" customFormat="false" ht="15" hidden="false" customHeight="false" outlineLevel="0" collapsed="false">
      <c r="A344" s="76" t="n">
        <v>46113</v>
      </c>
      <c r="B344" s="5" t="s">
        <v>18</v>
      </c>
      <c r="C344" s="5" t="n">
        <v>7</v>
      </c>
      <c r="D344" s="5" t="s">
        <v>282</v>
      </c>
      <c r="E344" s="77" t="n">
        <f aca="false">Forecast!E26</f>
        <v>279200</v>
      </c>
    </row>
    <row r="345" customFormat="false" ht="15" hidden="false" customHeight="false" outlineLevel="0" collapsed="false">
      <c r="A345" s="76" t="n">
        <v>46113</v>
      </c>
      <c r="B345" s="5" t="s">
        <v>18</v>
      </c>
      <c r="C345" s="5" t="n">
        <v>8</v>
      </c>
      <c r="D345" s="5" t="s">
        <v>282</v>
      </c>
      <c r="E345" s="77" t="n">
        <f aca="false">Forecast!E27</f>
        <v>164900</v>
      </c>
    </row>
    <row r="346" customFormat="false" ht="15" hidden="false" customHeight="false" outlineLevel="0" collapsed="false">
      <c r="A346" s="76" t="n">
        <v>46113</v>
      </c>
      <c r="B346" s="5" t="s">
        <v>18</v>
      </c>
      <c r="C346" s="5" t="n">
        <v>9</v>
      </c>
      <c r="D346" s="5" t="s">
        <v>282</v>
      </c>
      <c r="E346" s="77" t="n">
        <f aca="false">Forecast!E28</f>
        <v>62000</v>
      </c>
    </row>
    <row r="347" customFormat="false" ht="15" hidden="false" customHeight="false" outlineLevel="0" collapsed="false">
      <c r="A347" s="76" t="n">
        <v>46113</v>
      </c>
      <c r="B347" s="5" t="s">
        <v>18</v>
      </c>
      <c r="C347" s="5" t="n">
        <v>10</v>
      </c>
      <c r="D347" s="5" t="s">
        <v>282</v>
      </c>
      <c r="E347" s="77" t="n">
        <f aca="false">Forecast!E29</f>
        <v>38900</v>
      </c>
    </row>
    <row r="348" customFormat="false" ht="15" hidden="false" customHeight="false" outlineLevel="0" collapsed="false">
      <c r="A348" s="76" t="n">
        <v>46113</v>
      </c>
      <c r="B348" s="5" t="s">
        <v>18</v>
      </c>
      <c r="C348" s="5" t="n">
        <v>11</v>
      </c>
      <c r="D348" s="5" t="s">
        <v>282</v>
      </c>
      <c r="E348" s="77" t="n">
        <f aca="false">Forecast!E30</f>
        <v>61000</v>
      </c>
    </row>
    <row r="349" customFormat="false" ht="15" hidden="false" customHeight="false" outlineLevel="0" collapsed="false">
      <c r="A349" s="76" t="n">
        <v>46113</v>
      </c>
      <c r="B349" s="5" t="s">
        <v>18</v>
      </c>
      <c r="C349" s="5" t="n">
        <v>12</v>
      </c>
      <c r="D349" s="5" t="s">
        <v>282</v>
      </c>
      <c r="E349" s="77" t="n">
        <f aca="false">Forecast!E31</f>
        <v>11000</v>
      </c>
    </row>
    <row r="350" customFormat="false" ht="15" hidden="false" customHeight="false" outlineLevel="0" collapsed="false">
      <c r="A350" s="76" t="n">
        <v>46113</v>
      </c>
      <c r="B350" s="5" t="s">
        <v>18</v>
      </c>
      <c r="C350" s="5" t="n">
        <v>13</v>
      </c>
      <c r="D350" s="5" t="s">
        <v>282</v>
      </c>
      <c r="E350" s="77" t="n">
        <f aca="false">Forecast!E32</f>
        <v>12000</v>
      </c>
    </row>
    <row r="351" customFormat="false" ht="15" hidden="false" customHeight="false" outlineLevel="0" collapsed="false">
      <c r="A351" s="76" t="n">
        <v>46113</v>
      </c>
      <c r="B351" s="5" t="s">
        <v>18</v>
      </c>
      <c r="C351" s="5" t="n">
        <v>14</v>
      </c>
      <c r="D351" s="5" t="s">
        <v>282</v>
      </c>
      <c r="E351" s="77" t="n">
        <f aca="false">Forecast!E33</f>
        <v>16800</v>
      </c>
    </row>
    <row r="352" customFormat="false" ht="15" hidden="false" customHeight="false" outlineLevel="0" collapsed="false">
      <c r="A352" s="76" t="n">
        <v>46143</v>
      </c>
      <c r="B352" s="5" t="s">
        <v>18</v>
      </c>
      <c r="C352" s="5" t="n">
        <v>1</v>
      </c>
      <c r="D352" s="5" t="s">
        <v>66</v>
      </c>
      <c r="E352" s="77" t="n">
        <f aca="false">Forecast!F12</f>
        <v>738340</v>
      </c>
    </row>
    <row r="353" customFormat="false" ht="15" hidden="false" customHeight="false" outlineLevel="0" collapsed="false">
      <c r="A353" s="76" t="n">
        <v>46143</v>
      </c>
      <c r="B353" s="5" t="s">
        <v>18</v>
      </c>
      <c r="C353" s="5" t="n">
        <v>2</v>
      </c>
      <c r="D353" s="5" t="s">
        <v>67</v>
      </c>
      <c r="E353" s="77" t="n">
        <f aca="false">Forecast!F13</f>
        <v>536640</v>
      </c>
    </row>
    <row r="354" customFormat="false" ht="15" hidden="false" customHeight="false" outlineLevel="0" collapsed="false">
      <c r="A354" s="76" t="n">
        <v>46143</v>
      </c>
      <c r="B354" s="5" t="s">
        <v>18</v>
      </c>
      <c r="C354" s="5" t="n">
        <v>3</v>
      </c>
      <c r="D354" s="5" t="s">
        <v>68</v>
      </c>
      <c r="E354" s="77" t="n">
        <f aca="false">Forecast!F14</f>
        <v>565594</v>
      </c>
    </row>
    <row r="355" customFormat="false" ht="15" hidden="false" customHeight="false" outlineLevel="0" collapsed="false">
      <c r="A355" s="76" t="n">
        <v>46143</v>
      </c>
      <c r="B355" s="5" t="s">
        <v>18</v>
      </c>
      <c r="C355" s="5" t="n">
        <v>4</v>
      </c>
      <c r="D355" s="5" t="s">
        <v>282</v>
      </c>
      <c r="E355" s="77" t="n">
        <f aca="false">Forecast!F18</f>
        <v>680909</v>
      </c>
    </row>
    <row r="356" customFormat="false" ht="15" hidden="false" customHeight="false" outlineLevel="0" collapsed="false">
      <c r="A356" s="76" t="n">
        <v>46143</v>
      </c>
      <c r="B356" s="5" t="s">
        <v>18</v>
      </c>
      <c r="C356" s="5" t="n">
        <v>5</v>
      </c>
      <c r="D356" s="5" t="s">
        <v>282</v>
      </c>
      <c r="E356" s="77" t="n">
        <f aca="false">Forecast!F19</f>
        <v>210888</v>
      </c>
    </row>
    <row r="357" customFormat="false" ht="15" hidden="false" customHeight="false" outlineLevel="0" collapsed="false">
      <c r="A357" s="76" t="n">
        <v>46143</v>
      </c>
      <c r="B357" s="5" t="s">
        <v>18</v>
      </c>
      <c r="C357" s="5" t="n">
        <v>6</v>
      </c>
      <c r="D357" s="5" t="s">
        <v>282</v>
      </c>
      <c r="E357" s="77" t="n">
        <f aca="false">Forecast!F20</f>
        <v>95710</v>
      </c>
    </row>
    <row r="358" customFormat="false" ht="15" hidden="false" customHeight="false" outlineLevel="0" collapsed="false">
      <c r="A358" s="76" t="n">
        <v>46143</v>
      </c>
      <c r="B358" s="5" t="s">
        <v>18</v>
      </c>
      <c r="C358" s="5" t="n">
        <v>7</v>
      </c>
      <c r="D358" s="5" t="s">
        <v>282</v>
      </c>
      <c r="E358" s="77" t="n">
        <f aca="false">Forecast!F26</f>
        <v>280150</v>
      </c>
    </row>
    <row r="359" customFormat="false" ht="15" hidden="false" customHeight="false" outlineLevel="0" collapsed="false">
      <c r="A359" s="76" t="n">
        <v>46143</v>
      </c>
      <c r="B359" s="5" t="s">
        <v>18</v>
      </c>
      <c r="C359" s="5" t="n">
        <v>8</v>
      </c>
      <c r="D359" s="5" t="s">
        <v>282</v>
      </c>
      <c r="E359" s="77" t="n">
        <f aca="false">Forecast!F27</f>
        <v>170900</v>
      </c>
    </row>
    <row r="360" customFormat="false" ht="15" hidden="false" customHeight="false" outlineLevel="0" collapsed="false">
      <c r="A360" s="76" t="n">
        <v>46143</v>
      </c>
      <c r="B360" s="5" t="s">
        <v>18</v>
      </c>
      <c r="C360" s="5" t="n">
        <v>9</v>
      </c>
      <c r="D360" s="5" t="s">
        <v>282</v>
      </c>
      <c r="E360" s="77" t="n">
        <f aca="false">Forecast!F28</f>
        <v>62000</v>
      </c>
    </row>
    <row r="361" customFormat="false" ht="15" hidden="false" customHeight="false" outlineLevel="0" collapsed="false">
      <c r="A361" s="76" t="n">
        <v>46143</v>
      </c>
      <c r="B361" s="5" t="s">
        <v>18</v>
      </c>
      <c r="C361" s="5" t="n">
        <v>10</v>
      </c>
      <c r="D361" s="5" t="s">
        <v>282</v>
      </c>
      <c r="E361" s="77" t="n">
        <f aca="false">Forecast!F29</f>
        <v>44500</v>
      </c>
    </row>
    <row r="362" customFormat="false" ht="15" hidden="false" customHeight="false" outlineLevel="0" collapsed="false">
      <c r="A362" s="76" t="n">
        <v>46143</v>
      </c>
      <c r="B362" s="5" t="s">
        <v>18</v>
      </c>
      <c r="C362" s="5" t="n">
        <v>11</v>
      </c>
      <c r="D362" s="5" t="s">
        <v>282</v>
      </c>
      <c r="E362" s="77" t="n">
        <f aca="false">Forecast!F30</f>
        <v>24000</v>
      </c>
    </row>
    <row r="363" customFormat="false" ht="15" hidden="false" customHeight="false" outlineLevel="0" collapsed="false">
      <c r="A363" s="76" t="n">
        <v>46143</v>
      </c>
      <c r="B363" s="5" t="s">
        <v>18</v>
      </c>
      <c r="C363" s="5" t="n">
        <v>12</v>
      </c>
      <c r="D363" s="5" t="s">
        <v>282</v>
      </c>
      <c r="E363" s="77" t="n">
        <f aca="false">Forecast!F31</f>
        <v>12100</v>
      </c>
    </row>
    <row r="364" customFormat="false" ht="15" hidden="false" customHeight="false" outlineLevel="0" collapsed="false">
      <c r="A364" s="76" t="n">
        <v>46143</v>
      </c>
      <c r="B364" s="5" t="s">
        <v>18</v>
      </c>
      <c r="C364" s="5" t="n">
        <v>13</v>
      </c>
      <c r="D364" s="5" t="s">
        <v>282</v>
      </c>
      <c r="E364" s="77" t="n">
        <f aca="false">Forecast!F32</f>
        <v>12000</v>
      </c>
    </row>
    <row r="365" customFormat="false" ht="15" hidden="false" customHeight="false" outlineLevel="0" collapsed="false">
      <c r="A365" s="76" t="n">
        <v>46143</v>
      </c>
      <c r="B365" s="5" t="s">
        <v>18</v>
      </c>
      <c r="C365" s="5" t="n">
        <v>14</v>
      </c>
      <c r="D365" s="5" t="s">
        <v>282</v>
      </c>
      <c r="E365" s="77" t="n">
        <f aca="false">Forecast!F33</f>
        <v>18200</v>
      </c>
    </row>
    <row r="366" customFormat="false" ht="15" hidden="false" customHeight="false" outlineLevel="0" collapsed="false">
      <c r="A366" s="76" t="n">
        <v>46174</v>
      </c>
      <c r="B366" s="5" t="s">
        <v>18</v>
      </c>
      <c r="C366" s="5" t="n">
        <v>1</v>
      </c>
      <c r="D366" s="5" t="s">
        <v>66</v>
      </c>
      <c r="E366" s="77" t="n">
        <f aca="false">Forecast!G12</f>
        <v>679493</v>
      </c>
    </row>
    <row r="367" customFormat="false" ht="15" hidden="false" customHeight="false" outlineLevel="0" collapsed="false">
      <c r="A367" s="76" t="n">
        <v>46174</v>
      </c>
      <c r="B367" s="5" t="s">
        <v>18</v>
      </c>
      <c r="C367" s="5" t="n">
        <v>2</v>
      </c>
      <c r="D367" s="5" t="s">
        <v>67</v>
      </c>
      <c r="E367" s="77" t="n">
        <f aca="false">Forecast!G13</f>
        <v>472680</v>
      </c>
    </row>
    <row r="368" customFormat="false" ht="15" hidden="false" customHeight="false" outlineLevel="0" collapsed="false">
      <c r="A368" s="76" t="n">
        <v>46174</v>
      </c>
      <c r="B368" s="5" t="s">
        <v>18</v>
      </c>
      <c r="C368" s="5" t="n">
        <v>3</v>
      </c>
      <c r="D368" s="5" t="s">
        <v>68</v>
      </c>
      <c r="E368" s="77" t="n">
        <f aca="false">Forecast!G14</f>
        <v>537966</v>
      </c>
    </row>
    <row r="369" customFormat="false" ht="15" hidden="false" customHeight="false" outlineLevel="0" collapsed="false">
      <c r="A369" s="76" t="n">
        <v>46174</v>
      </c>
      <c r="B369" s="5" t="s">
        <v>18</v>
      </c>
      <c r="C369" s="5" t="n">
        <v>4</v>
      </c>
      <c r="D369" s="5" t="s">
        <v>282</v>
      </c>
      <c r="E369" s="77" t="n">
        <f aca="false">Forecast!G18</f>
        <v>621804</v>
      </c>
    </row>
    <row r="370" customFormat="false" ht="15" hidden="false" customHeight="false" outlineLevel="0" collapsed="false">
      <c r="A370" s="76" t="n">
        <v>46174</v>
      </c>
      <c r="B370" s="5" t="s">
        <v>18</v>
      </c>
      <c r="C370" s="5" t="n">
        <v>5</v>
      </c>
      <c r="D370" s="5" t="s">
        <v>282</v>
      </c>
      <c r="E370" s="77" t="n">
        <f aca="false">Forecast!G19</f>
        <v>196385</v>
      </c>
    </row>
    <row r="371" customFormat="false" ht="15" hidden="false" customHeight="false" outlineLevel="0" collapsed="false">
      <c r="A371" s="76" t="n">
        <v>46174</v>
      </c>
      <c r="B371" s="5" t="s">
        <v>18</v>
      </c>
      <c r="C371" s="5" t="n">
        <v>6</v>
      </c>
      <c r="D371" s="5" t="s">
        <v>282</v>
      </c>
      <c r="E371" s="77" t="n">
        <f aca="false">Forecast!G20</f>
        <v>103098</v>
      </c>
    </row>
    <row r="372" customFormat="false" ht="15" hidden="false" customHeight="false" outlineLevel="0" collapsed="false">
      <c r="A372" s="76" t="n">
        <v>46174</v>
      </c>
      <c r="B372" s="5" t="s">
        <v>18</v>
      </c>
      <c r="C372" s="5" t="n">
        <v>7</v>
      </c>
      <c r="D372" s="5" t="s">
        <v>282</v>
      </c>
      <c r="E372" s="77" t="n">
        <f aca="false">Forecast!G26</f>
        <v>283400</v>
      </c>
    </row>
    <row r="373" customFormat="false" ht="15" hidden="false" customHeight="false" outlineLevel="0" collapsed="false">
      <c r="A373" s="76" t="n">
        <v>46174</v>
      </c>
      <c r="B373" s="5" t="s">
        <v>18</v>
      </c>
      <c r="C373" s="5" t="n">
        <v>8</v>
      </c>
      <c r="D373" s="5" t="s">
        <v>282</v>
      </c>
      <c r="E373" s="77" t="n">
        <f aca="false">Forecast!G27</f>
        <v>158600</v>
      </c>
    </row>
    <row r="374" customFormat="false" ht="15" hidden="false" customHeight="false" outlineLevel="0" collapsed="false">
      <c r="A374" s="76" t="n">
        <v>46174</v>
      </c>
      <c r="B374" s="5" t="s">
        <v>18</v>
      </c>
      <c r="C374" s="5" t="n">
        <v>9</v>
      </c>
      <c r="D374" s="5" t="s">
        <v>282</v>
      </c>
      <c r="E374" s="77" t="n">
        <f aca="false">Forecast!G28</f>
        <v>62000</v>
      </c>
    </row>
    <row r="375" customFormat="false" ht="15" hidden="false" customHeight="false" outlineLevel="0" collapsed="false">
      <c r="A375" s="76" t="n">
        <v>46174</v>
      </c>
      <c r="B375" s="5" t="s">
        <v>18</v>
      </c>
      <c r="C375" s="5" t="n">
        <v>10</v>
      </c>
      <c r="D375" s="5" t="s">
        <v>282</v>
      </c>
      <c r="E375" s="77" t="n">
        <f aca="false">Forecast!G29</f>
        <v>44500</v>
      </c>
    </row>
    <row r="376" customFormat="false" ht="15" hidden="false" customHeight="false" outlineLevel="0" collapsed="false">
      <c r="A376" s="76" t="n">
        <v>46174</v>
      </c>
      <c r="B376" s="5" t="s">
        <v>18</v>
      </c>
      <c r="C376" s="5" t="n">
        <v>11</v>
      </c>
      <c r="D376" s="5" t="s">
        <v>282</v>
      </c>
      <c r="E376" s="77" t="n">
        <f aca="false">Forecast!G30</f>
        <v>48500</v>
      </c>
    </row>
    <row r="377" customFormat="false" ht="15" hidden="false" customHeight="false" outlineLevel="0" collapsed="false">
      <c r="A377" s="76" t="n">
        <v>46174</v>
      </c>
      <c r="B377" s="5" t="s">
        <v>18</v>
      </c>
      <c r="C377" s="5" t="n">
        <v>12</v>
      </c>
      <c r="D377" s="5" t="s">
        <v>282</v>
      </c>
      <c r="E377" s="77" t="n">
        <f aca="false">Forecast!G31</f>
        <v>10400</v>
      </c>
    </row>
    <row r="378" customFormat="false" ht="15" hidden="false" customHeight="false" outlineLevel="0" collapsed="false">
      <c r="A378" s="76" t="n">
        <v>46174</v>
      </c>
      <c r="B378" s="5" t="s">
        <v>18</v>
      </c>
      <c r="C378" s="5" t="n">
        <v>13</v>
      </c>
      <c r="D378" s="5" t="s">
        <v>282</v>
      </c>
      <c r="E378" s="77" t="n">
        <f aca="false">Forecast!G32</f>
        <v>12000</v>
      </c>
    </row>
    <row r="379" customFormat="false" ht="15" hidden="false" customHeight="false" outlineLevel="0" collapsed="false">
      <c r="A379" s="76" t="n">
        <v>46174</v>
      </c>
      <c r="B379" s="5" t="s">
        <v>18</v>
      </c>
      <c r="C379" s="5" t="n">
        <v>14</v>
      </c>
      <c r="D379" s="5" t="s">
        <v>282</v>
      </c>
      <c r="E379" s="77" t="n">
        <f aca="false">Forecast!G33</f>
        <v>20100</v>
      </c>
    </row>
    <row r="380" customFormat="false" ht="15" hidden="false" customHeight="false" outlineLevel="0" collapsed="false">
      <c r="A380" s="76" t="n">
        <v>46204</v>
      </c>
      <c r="B380" s="5" t="s">
        <v>18</v>
      </c>
      <c r="C380" s="5" t="n">
        <v>1</v>
      </c>
      <c r="D380" s="5" t="s">
        <v>66</v>
      </c>
      <c r="E380" s="77" t="n">
        <f aca="false">Forecast!H12</f>
        <v>640120</v>
      </c>
    </row>
    <row r="381" customFormat="false" ht="15" hidden="false" customHeight="false" outlineLevel="0" collapsed="false">
      <c r="A381" s="76" t="n">
        <v>46204</v>
      </c>
      <c r="B381" s="5" t="s">
        <v>18</v>
      </c>
      <c r="C381" s="5" t="n">
        <v>2</v>
      </c>
      <c r="D381" s="5" t="s">
        <v>67</v>
      </c>
      <c r="E381" s="77" t="n">
        <f aca="false">Forecast!H13</f>
        <v>491400</v>
      </c>
    </row>
    <row r="382" customFormat="false" ht="15" hidden="false" customHeight="false" outlineLevel="0" collapsed="false">
      <c r="A382" s="76" t="n">
        <v>46204</v>
      </c>
      <c r="B382" s="5" t="s">
        <v>18</v>
      </c>
      <c r="C382" s="5" t="n">
        <v>3</v>
      </c>
      <c r="D382" s="5" t="s">
        <v>68</v>
      </c>
      <c r="E382" s="77" t="n">
        <f aca="false">Forecast!H14</f>
        <v>494894</v>
      </c>
    </row>
    <row r="383" customFormat="false" ht="15" hidden="false" customHeight="false" outlineLevel="0" collapsed="false">
      <c r="A383" s="76" t="n">
        <v>46204</v>
      </c>
      <c r="B383" s="5" t="s">
        <v>18</v>
      </c>
      <c r="C383" s="5" t="n">
        <v>4</v>
      </c>
      <c r="D383" s="5" t="s">
        <v>282</v>
      </c>
      <c r="E383" s="77" t="n">
        <f aca="false">Forecast!H18</f>
        <v>602303</v>
      </c>
    </row>
    <row r="384" customFormat="false" ht="15" hidden="false" customHeight="false" outlineLevel="0" collapsed="false">
      <c r="A384" s="76" t="n">
        <v>46204</v>
      </c>
      <c r="B384" s="5" t="s">
        <v>18</v>
      </c>
      <c r="C384" s="5" t="n">
        <v>5</v>
      </c>
      <c r="D384" s="5" t="s">
        <v>282</v>
      </c>
      <c r="E384" s="77" t="n">
        <f aca="false">Forecast!H19</f>
        <v>195843</v>
      </c>
    </row>
    <row r="385" customFormat="false" ht="15" hidden="false" customHeight="false" outlineLevel="0" collapsed="false">
      <c r="A385" s="76" t="n">
        <v>46204</v>
      </c>
      <c r="B385" s="5" t="s">
        <v>18</v>
      </c>
      <c r="C385" s="5" t="n">
        <v>6</v>
      </c>
      <c r="D385" s="5" t="s">
        <v>282</v>
      </c>
      <c r="E385" s="77" t="n">
        <f aca="false">Forecast!H20</f>
        <v>95958</v>
      </c>
    </row>
    <row r="386" customFormat="false" ht="15" hidden="false" customHeight="false" outlineLevel="0" collapsed="false">
      <c r="A386" s="76" t="n">
        <v>46204</v>
      </c>
      <c r="B386" s="5" t="s">
        <v>18</v>
      </c>
      <c r="C386" s="5" t="n">
        <v>7</v>
      </c>
      <c r="D386" s="5" t="s">
        <v>282</v>
      </c>
      <c r="E386" s="77" t="n">
        <f aca="false">Forecast!H26</f>
        <v>293100</v>
      </c>
    </row>
    <row r="387" customFormat="false" ht="15" hidden="false" customHeight="false" outlineLevel="0" collapsed="false">
      <c r="A387" s="76" t="n">
        <v>46204</v>
      </c>
      <c r="B387" s="5" t="s">
        <v>18</v>
      </c>
      <c r="C387" s="5" t="n">
        <v>8</v>
      </c>
      <c r="D387" s="5" t="s">
        <v>282</v>
      </c>
      <c r="E387" s="77" t="n">
        <f aca="false">Forecast!H27</f>
        <v>151000</v>
      </c>
    </row>
    <row r="388" customFormat="false" ht="15" hidden="false" customHeight="false" outlineLevel="0" collapsed="false">
      <c r="A388" s="76" t="n">
        <v>46204</v>
      </c>
      <c r="B388" s="5" t="s">
        <v>18</v>
      </c>
      <c r="C388" s="5" t="n">
        <v>9</v>
      </c>
      <c r="D388" s="5" t="s">
        <v>282</v>
      </c>
      <c r="E388" s="77" t="n">
        <f aca="false">Forecast!H28</f>
        <v>64100</v>
      </c>
    </row>
    <row r="389" customFormat="false" ht="15" hidden="false" customHeight="false" outlineLevel="0" collapsed="false">
      <c r="A389" s="76" t="n">
        <v>46204</v>
      </c>
      <c r="B389" s="5" t="s">
        <v>18</v>
      </c>
      <c r="C389" s="5" t="n">
        <v>10</v>
      </c>
      <c r="D389" s="5" t="s">
        <v>282</v>
      </c>
      <c r="E389" s="77" t="n">
        <f aca="false">Forecast!H29</f>
        <v>44650</v>
      </c>
    </row>
    <row r="390" customFormat="false" ht="15" hidden="false" customHeight="false" outlineLevel="0" collapsed="false">
      <c r="A390" s="76" t="n">
        <v>46204</v>
      </c>
      <c r="B390" s="5" t="s">
        <v>18</v>
      </c>
      <c r="C390" s="5" t="n">
        <v>11</v>
      </c>
      <c r="D390" s="5" t="s">
        <v>282</v>
      </c>
      <c r="E390" s="77" t="n">
        <f aca="false">Forecast!H30</f>
        <v>31000</v>
      </c>
    </row>
    <row r="391" customFormat="false" ht="15" hidden="false" customHeight="false" outlineLevel="0" collapsed="false">
      <c r="A391" s="76" t="n">
        <v>46204</v>
      </c>
      <c r="B391" s="5" t="s">
        <v>18</v>
      </c>
      <c r="C391" s="5" t="n">
        <v>12</v>
      </c>
      <c r="D391" s="5" t="s">
        <v>282</v>
      </c>
      <c r="E391" s="77" t="n">
        <f aca="false">Forecast!H31</f>
        <v>9800</v>
      </c>
    </row>
    <row r="392" customFormat="false" ht="15" hidden="false" customHeight="false" outlineLevel="0" collapsed="false">
      <c r="A392" s="76" t="n">
        <v>46204</v>
      </c>
      <c r="B392" s="5" t="s">
        <v>18</v>
      </c>
      <c r="C392" s="5" t="n">
        <v>13</v>
      </c>
      <c r="D392" s="5" t="s">
        <v>282</v>
      </c>
      <c r="E392" s="77" t="n">
        <f aca="false">Forecast!H32</f>
        <v>12960</v>
      </c>
    </row>
    <row r="393" customFormat="false" ht="15" hidden="false" customHeight="false" outlineLevel="0" collapsed="false">
      <c r="A393" s="76" t="n">
        <v>46204</v>
      </c>
      <c r="B393" s="5" t="s">
        <v>18</v>
      </c>
      <c r="C393" s="5" t="n">
        <v>14</v>
      </c>
      <c r="D393" s="5" t="s">
        <v>282</v>
      </c>
      <c r="E393" s="77" t="n">
        <f aca="false">Forecast!H33</f>
        <v>17700</v>
      </c>
    </row>
    <row r="394" customFormat="false" ht="15" hidden="false" customHeight="false" outlineLevel="0" collapsed="false">
      <c r="A394" s="76" t="n">
        <v>46235</v>
      </c>
      <c r="B394" s="5" t="s">
        <v>18</v>
      </c>
      <c r="C394" s="5" t="n">
        <v>1</v>
      </c>
      <c r="D394" s="5" t="s">
        <v>66</v>
      </c>
      <c r="E394" s="77" t="n">
        <f aca="false">Forecast!I12</f>
        <v>691416</v>
      </c>
    </row>
    <row r="395" customFormat="false" ht="15" hidden="false" customHeight="false" outlineLevel="0" collapsed="false">
      <c r="A395" s="76" t="n">
        <v>46235</v>
      </c>
      <c r="B395" s="5" t="s">
        <v>18</v>
      </c>
      <c r="C395" s="5" t="n">
        <v>2</v>
      </c>
      <c r="D395" s="5" t="s">
        <v>67</v>
      </c>
      <c r="E395" s="77" t="n">
        <f aca="false">Forecast!I13</f>
        <v>555750</v>
      </c>
    </row>
    <row r="396" customFormat="false" ht="15" hidden="false" customHeight="false" outlineLevel="0" collapsed="false">
      <c r="A396" s="76" t="n">
        <v>46235</v>
      </c>
      <c r="B396" s="5" t="s">
        <v>18</v>
      </c>
      <c r="C396" s="5" t="n">
        <v>3</v>
      </c>
      <c r="D396" s="5" t="s">
        <v>68</v>
      </c>
      <c r="E396" s="77" t="n">
        <f aca="false">Forecast!I14</f>
        <v>540540</v>
      </c>
    </row>
    <row r="397" customFormat="false" ht="15" hidden="false" customHeight="false" outlineLevel="0" collapsed="false">
      <c r="A397" s="76" t="n">
        <v>46235</v>
      </c>
      <c r="B397" s="5" t="s">
        <v>18</v>
      </c>
      <c r="C397" s="5" t="n">
        <v>4</v>
      </c>
      <c r="D397" s="5" t="s">
        <v>282</v>
      </c>
      <c r="E397" s="77" t="n">
        <f aca="false">Forecast!I18</f>
        <v>665152</v>
      </c>
    </row>
    <row r="398" customFormat="false" ht="15" hidden="false" customHeight="false" outlineLevel="0" collapsed="false">
      <c r="A398" s="76" t="n">
        <v>46235</v>
      </c>
      <c r="B398" s="5" t="s">
        <v>18</v>
      </c>
      <c r="C398" s="5" t="n">
        <v>5</v>
      </c>
      <c r="D398" s="5" t="s">
        <v>282</v>
      </c>
      <c r="E398" s="77" t="n">
        <f aca="false">Forecast!I19</f>
        <v>218360</v>
      </c>
    </row>
    <row r="399" customFormat="false" ht="15" hidden="false" customHeight="false" outlineLevel="0" collapsed="false">
      <c r="A399" s="76" t="n">
        <v>46235</v>
      </c>
      <c r="B399" s="5" t="s">
        <v>18</v>
      </c>
      <c r="C399" s="5" t="n">
        <v>6</v>
      </c>
      <c r="D399" s="5" t="s">
        <v>282</v>
      </c>
      <c r="E399" s="77" t="n">
        <f aca="false">Forecast!I20</f>
        <v>94748</v>
      </c>
    </row>
    <row r="400" customFormat="false" ht="15" hidden="false" customHeight="false" outlineLevel="0" collapsed="false">
      <c r="A400" s="76" t="n">
        <v>46235</v>
      </c>
      <c r="B400" s="5" t="s">
        <v>18</v>
      </c>
      <c r="C400" s="5" t="n">
        <v>7</v>
      </c>
      <c r="D400" s="5" t="s">
        <v>282</v>
      </c>
      <c r="E400" s="77" t="n">
        <f aca="false">Forecast!I26</f>
        <v>294480</v>
      </c>
    </row>
    <row r="401" customFormat="false" ht="15" hidden="false" customHeight="false" outlineLevel="0" collapsed="false">
      <c r="A401" s="76" t="n">
        <v>46235</v>
      </c>
      <c r="B401" s="5" t="s">
        <v>18</v>
      </c>
      <c r="C401" s="5" t="n">
        <v>8</v>
      </c>
      <c r="D401" s="5" t="s">
        <v>282</v>
      </c>
      <c r="E401" s="77" t="n">
        <f aca="false">Forecast!I27</f>
        <v>183500</v>
      </c>
    </row>
    <row r="402" customFormat="false" ht="15" hidden="false" customHeight="false" outlineLevel="0" collapsed="false">
      <c r="A402" s="76" t="n">
        <v>46235</v>
      </c>
      <c r="B402" s="5" t="s">
        <v>18</v>
      </c>
      <c r="C402" s="5" t="n">
        <v>9</v>
      </c>
      <c r="D402" s="5" t="s">
        <v>282</v>
      </c>
      <c r="E402" s="77" t="n">
        <f aca="false">Forecast!I28</f>
        <v>64100</v>
      </c>
    </row>
    <row r="403" customFormat="false" ht="15" hidden="false" customHeight="false" outlineLevel="0" collapsed="false">
      <c r="A403" s="76" t="n">
        <v>46235</v>
      </c>
      <c r="B403" s="5" t="s">
        <v>18</v>
      </c>
      <c r="C403" s="5" t="n">
        <v>10</v>
      </c>
      <c r="D403" s="5" t="s">
        <v>282</v>
      </c>
      <c r="E403" s="77" t="n">
        <f aca="false">Forecast!I29</f>
        <v>44500</v>
      </c>
    </row>
    <row r="404" customFormat="false" ht="15" hidden="false" customHeight="false" outlineLevel="0" collapsed="false">
      <c r="A404" s="76" t="n">
        <v>46235</v>
      </c>
      <c r="B404" s="5" t="s">
        <v>18</v>
      </c>
      <c r="C404" s="5" t="n">
        <v>11</v>
      </c>
      <c r="D404" s="5" t="s">
        <v>282</v>
      </c>
      <c r="E404" s="77" t="n">
        <f aca="false">Forecast!I30</f>
        <v>22800</v>
      </c>
    </row>
    <row r="405" customFormat="false" ht="15" hidden="false" customHeight="false" outlineLevel="0" collapsed="false">
      <c r="A405" s="76" t="n">
        <v>46235</v>
      </c>
      <c r="B405" s="5" t="s">
        <v>18</v>
      </c>
      <c r="C405" s="5" t="n">
        <v>12</v>
      </c>
      <c r="D405" s="5" t="s">
        <v>282</v>
      </c>
      <c r="E405" s="77" t="n">
        <f aca="false">Forecast!I31</f>
        <v>13000</v>
      </c>
    </row>
    <row r="406" customFormat="false" ht="15" hidden="false" customHeight="false" outlineLevel="0" collapsed="false">
      <c r="A406" s="76" t="n">
        <v>46235</v>
      </c>
      <c r="B406" s="5" t="s">
        <v>18</v>
      </c>
      <c r="C406" s="5" t="n">
        <v>13</v>
      </c>
      <c r="D406" s="5" t="s">
        <v>282</v>
      </c>
      <c r="E406" s="77" t="n">
        <f aca="false">Forecast!I32</f>
        <v>12960</v>
      </c>
    </row>
    <row r="407" customFormat="false" ht="15" hidden="false" customHeight="false" outlineLevel="0" collapsed="false">
      <c r="A407" s="76" t="n">
        <v>46235</v>
      </c>
      <c r="B407" s="5" t="s">
        <v>18</v>
      </c>
      <c r="C407" s="5" t="n">
        <v>14</v>
      </c>
      <c r="D407" s="5" t="s">
        <v>282</v>
      </c>
      <c r="E407" s="77" t="n">
        <f aca="false">Forecast!I33</f>
        <v>18400</v>
      </c>
    </row>
    <row r="408" customFormat="false" ht="15" hidden="false" customHeight="false" outlineLevel="0" collapsed="false">
      <c r="A408" s="76" t="n">
        <v>46266</v>
      </c>
      <c r="B408" s="5" t="s">
        <v>18</v>
      </c>
      <c r="C408" s="5" t="n">
        <v>1</v>
      </c>
      <c r="D408" s="5" t="s">
        <v>66</v>
      </c>
      <c r="E408" s="77" t="n">
        <f aca="false">Forecast!J12</f>
        <v>784486</v>
      </c>
    </row>
    <row r="409" customFormat="false" ht="15" hidden="false" customHeight="false" outlineLevel="0" collapsed="false">
      <c r="A409" s="76" t="n">
        <v>46266</v>
      </c>
      <c r="B409" s="5" t="s">
        <v>18</v>
      </c>
      <c r="C409" s="5" t="n">
        <v>2</v>
      </c>
      <c r="D409" s="5" t="s">
        <v>67</v>
      </c>
      <c r="E409" s="77" t="n">
        <f aca="false">Forecast!J13</f>
        <v>639894</v>
      </c>
    </row>
    <row r="410" customFormat="false" ht="15" hidden="false" customHeight="false" outlineLevel="0" collapsed="false">
      <c r="A410" s="76" t="n">
        <v>46266</v>
      </c>
      <c r="B410" s="5" t="s">
        <v>18</v>
      </c>
      <c r="C410" s="5" t="n">
        <v>3</v>
      </c>
      <c r="D410" s="5" t="s">
        <v>68</v>
      </c>
      <c r="E410" s="77" t="n">
        <f aca="false">Forecast!J14</f>
        <v>606778</v>
      </c>
    </row>
    <row r="411" customFormat="false" ht="15" hidden="false" customHeight="false" outlineLevel="0" collapsed="false">
      <c r="A411" s="76" t="n">
        <v>46266</v>
      </c>
      <c r="B411" s="5" t="s">
        <v>18</v>
      </c>
      <c r="C411" s="5" t="n">
        <v>4</v>
      </c>
      <c r="D411" s="5" t="s">
        <v>282</v>
      </c>
      <c r="E411" s="77" t="n">
        <f aca="false">Forecast!J18</f>
        <v>754390</v>
      </c>
    </row>
    <row r="412" customFormat="false" ht="15" hidden="false" customHeight="false" outlineLevel="0" collapsed="false">
      <c r="A412" s="76" t="n">
        <v>46266</v>
      </c>
      <c r="B412" s="5" t="s">
        <v>18</v>
      </c>
      <c r="C412" s="5" t="n">
        <v>5</v>
      </c>
      <c r="D412" s="5" t="s">
        <v>282</v>
      </c>
      <c r="E412" s="77" t="n">
        <f aca="false">Forecast!J19</f>
        <v>236119</v>
      </c>
    </row>
    <row r="413" customFormat="false" ht="15" hidden="false" customHeight="false" outlineLevel="0" collapsed="false">
      <c r="A413" s="76" t="n">
        <v>46266</v>
      </c>
      <c r="B413" s="5" t="s">
        <v>18</v>
      </c>
      <c r="C413" s="5" t="n">
        <v>6</v>
      </c>
      <c r="D413" s="5" t="s">
        <v>282</v>
      </c>
      <c r="E413" s="77" t="n">
        <f aca="false">Forecast!J20</f>
        <v>103589</v>
      </c>
    </row>
    <row r="414" customFormat="false" ht="15" hidden="false" customHeight="false" outlineLevel="0" collapsed="false">
      <c r="A414" s="76" t="n">
        <v>46266</v>
      </c>
      <c r="B414" s="5" t="s">
        <v>18</v>
      </c>
      <c r="C414" s="5" t="n">
        <v>7</v>
      </c>
      <c r="D414" s="5" t="s">
        <v>282</v>
      </c>
      <c r="E414" s="77" t="n">
        <f aca="false">Forecast!J26</f>
        <v>295020</v>
      </c>
    </row>
    <row r="415" customFormat="false" ht="15" hidden="false" customHeight="false" outlineLevel="0" collapsed="false">
      <c r="A415" s="76" t="n">
        <v>46266</v>
      </c>
      <c r="B415" s="5" t="s">
        <v>18</v>
      </c>
      <c r="C415" s="5" t="n">
        <v>8</v>
      </c>
      <c r="D415" s="5" t="s">
        <v>282</v>
      </c>
      <c r="E415" s="77" t="n">
        <f aca="false">Forecast!J27</f>
        <v>186800</v>
      </c>
    </row>
    <row r="416" customFormat="false" ht="15" hidden="false" customHeight="false" outlineLevel="0" collapsed="false">
      <c r="A416" s="76" t="n">
        <v>46266</v>
      </c>
      <c r="B416" s="5" t="s">
        <v>18</v>
      </c>
      <c r="C416" s="5" t="n">
        <v>9</v>
      </c>
      <c r="D416" s="5" t="s">
        <v>282</v>
      </c>
      <c r="E416" s="77" t="n">
        <f aca="false">Forecast!J28</f>
        <v>64100</v>
      </c>
    </row>
    <row r="417" customFormat="false" ht="15" hidden="false" customHeight="false" outlineLevel="0" collapsed="false">
      <c r="A417" s="76" t="n">
        <v>46266</v>
      </c>
      <c r="B417" s="5" t="s">
        <v>18</v>
      </c>
      <c r="C417" s="5" t="n">
        <v>10</v>
      </c>
      <c r="D417" s="5" t="s">
        <v>282</v>
      </c>
      <c r="E417" s="77" t="n">
        <f aca="false">Forecast!J29</f>
        <v>44720</v>
      </c>
    </row>
    <row r="418" customFormat="false" ht="15" hidden="false" customHeight="false" outlineLevel="0" collapsed="false">
      <c r="A418" s="76" t="n">
        <v>46266</v>
      </c>
      <c r="B418" s="5" t="s">
        <v>18</v>
      </c>
      <c r="C418" s="5" t="n">
        <v>11</v>
      </c>
      <c r="D418" s="5" t="s">
        <v>282</v>
      </c>
      <c r="E418" s="77" t="n">
        <f aca="false">Forecast!J30</f>
        <v>23500</v>
      </c>
    </row>
    <row r="419" customFormat="false" ht="15" hidden="false" customHeight="false" outlineLevel="0" collapsed="false">
      <c r="A419" s="76" t="n">
        <v>46266</v>
      </c>
      <c r="B419" s="5" t="s">
        <v>18</v>
      </c>
      <c r="C419" s="5" t="n">
        <v>12</v>
      </c>
      <c r="D419" s="5" t="s">
        <v>282</v>
      </c>
      <c r="E419" s="77" t="n">
        <f aca="false">Forecast!J31</f>
        <v>12600</v>
      </c>
    </row>
    <row r="420" customFormat="false" ht="15" hidden="false" customHeight="false" outlineLevel="0" collapsed="false">
      <c r="A420" s="76" t="n">
        <v>46266</v>
      </c>
      <c r="B420" s="5" t="s">
        <v>18</v>
      </c>
      <c r="C420" s="5" t="n">
        <v>13</v>
      </c>
      <c r="D420" s="5" t="s">
        <v>282</v>
      </c>
      <c r="E420" s="77" t="n">
        <f aca="false">Forecast!J32</f>
        <v>12960</v>
      </c>
    </row>
    <row r="421" customFormat="false" ht="15" hidden="false" customHeight="false" outlineLevel="0" collapsed="false">
      <c r="A421" s="76" t="n">
        <v>46266</v>
      </c>
      <c r="B421" s="5" t="s">
        <v>18</v>
      </c>
      <c r="C421" s="5" t="n">
        <v>14</v>
      </c>
      <c r="D421" s="5" t="s">
        <v>282</v>
      </c>
      <c r="E421" s="77" t="n">
        <f aca="false">Forecast!J33</f>
        <v>19000</v>
      </c>
    </row>
    <row r="422" customFormat="false" ht="15" hidden="false" customHeight="false" outlineLevel="0" collapsed="false">
      <c r="A422" s="76" t="n">
        <v>46296</v>
      </c>
      <c r="B422" s="5" t="s">
        <v>18</v>
      </c>
      <c r="C422" s="5" t="n">
        <v>1</v>
      </c>
      <c r="D422" s="5" t="s">
        <v>66</v>
      </c>
      <c r="E422" s="77" t="n">
        <f aca="false">Forecast!K12</f>
        <v>867996</v>
      </c>
    </row>
    <row r="423" customFormat="false" ht="15" hidden="false" customHeight="false" outlineLevel="0" collapsed="false">
      <c r="A423" s="76" t="n">
        <v>46296</v>
      </c>
      <c r="B423" s="5" t="s">
        <v>18</v>
      </c>
      <c r="C423" s="5" t="n">
        <v>2</v>
      </c>
      <c r="D423" s="5" t="s">
        <v>67</v>
      </c>
      <c r="E423" s="77" t="n">
        <f aca="false">Forecast!K13</f>
        <v>711360</v>
      </c>
    </row>
    <row r="424" customFormat="false" ht="15" hidden="false" customHeight="false" outlineLevel="0" collapsed="false">
      <c r="A424" s="76" t="n">
        <v>46296</v>
      </c>
      <c r="B424" s="5" t="s">
        <v>18</v>
      </c>
      <c r="C424" s="5" t="n">
        <v>3</v>
      </c>
      <c r="D424" s="5" t="s">
        <v>68</v>
      </c>
      <c r="E424" s="77" t="n">
        <f aca="false">Forecast!K14</f>
        <v>678163.2</v>
      </c>
    </row>
    <row r="425" customFormat="false" ht="15" hidden="false" customHeight="false" outlineLevel="0" collapsed="false">
      <c r="A425" s="76" t="n">
        <v>46296</v>
      </c>
      <c r="B425" s="5" t="s">
        <v>18</v>
      </c>
      <c r="C425" s="5" t="n">
        <v>4</v>
      </c>
      <c r="D425" s="5" t="s">
        <v>282</v>
      </c>
      <c r="E425" s="77" t="n">
        <f aca="false">Forecast!K18</f>
        <v>837336.84</v>
      </c>
    </row>
    <row r="426" customFormat="false" ht="15" hidden="false" customHeight="false" outlineLevel="0" collapsed="false">
      <c r="A426" s="76" t="n">
        <v>46296</v>
      </c>
      <c r="B426" s="5" t="s">
        <v>18</v>
      </c>
      <c r="C426" s="5" t="n">
        <v>5</v>
      </c>
      <c r="D426" s="5" t="s">
        <v>282</v>
      </c>
      <c r="E426" s="77" t="n">
        <f aca="false">Forecast!K19</f>
        <v>262095.12</v>
      </c>
    </row>
    <row r="427" customFormat="false" ht="15" hidden="false" customHeight="false" outlineLevel="0" collapsed="false">
      <c r="A427" s="76" t="n">
        <v>46296</v>
      </c>
      <c r="B427" s="5" t="s">
        <v>18</v>
      </c>
      <c r="C427" s="5" t="n">
        <v>6</v>
      </c>
      <c r="D427" s="5" t="s">
        <v>282</v>
      </c>
      <c r="E427" s="77" t="n">
        <f aca="false">Forecast!K20</f>
        <v>112875.96</v>
      </c>
    </row>
    <row r="428" customFormat="false" ht="15" hidden="false" customHeight="false" outlineLevel="0" collapsed="false">
      <c r="A428" s="76" t="n">
        <v>46296</v>
      </c>
      <c r="B428" s="5" t="s">
        <v>18</v>
      </c>
      <c r="C428" s="5" t="n">
        <v>7</v>
      </c>
      <c r="D428" s="5" t="s">
        <v>282</v>
      </c>
      <c r="E428" s="77" t="n">
        <f aca="false">Forecast!K26</f>
        <v>298000</v>
      </c>
    </row>
    <row r="429" customFormat="false" ht="15" hidden="false" customHeight="false" outlineLevel="0" collapsed="false">
      <c r="A429" s="76" t="n">
        <v>46296</v>
      </c>
      <c r="B429" s="5" t="s">
        <v>18</v>
      </c>
      <c r="C429" s="5" t="n">
        <v>8</v>
      </c>
      <c r="D429" s="5" t="s">
        <v>282</v>
      </c>
      <c r="E429" s="77" t="n">
        <f aca="false">Forecast!K27</f>
        <v>207691.7664</v>
      </c>
    </row>
    <row r="430" customFormat="false" ht="15" hidden="false" customHeight="false" outlineLevel="0" collapsed="false">
      <c r="A430" s="76" t="n">
        <v>46296</v>
      </c>
      <c r="B430" s="5" t="s">
        <v>18</v>
      </c>
      <c r="C430" s="5" t="n">
        <v>9</v>
      </c>
      <c r="D430" s="5" t="s">
        <v>282</v>
      </c>
      <c r="E430" s="77" t="n">
        <f aca="false">Forecast!K28</f>
        <v>64100</v>
      </c>
    </row>
    <row r="431" customFormat="false" ht="15" hidden="false" customHeight="false" outlineLevel="0" collapsed="false">
      <c r="A431" s="76" t="n">
        <v>46296</v>
      </c>
      <c r="B431" s="5" t="s">
        <v>18</v>
      </c>
      <c r="C431" s="5" t="n">
        <v>10</v>
      </c>
      <c r="D431" s="5" t="s">
        <v>282</v>
      </c>
      <c r="E431" s="77" t="n">
        <f aca="false">Forecast!K29</f>
        <v>44700</v>
      </c>
    </row>
    <row r="432" customFormat="false" ht="15" hidden="false" customHeight="false" outlineLevel="0" collapsed="false">
      <c r="A432" s="76" t="n">
        <v>46296</v>
      </c>
      <c r="B432" s="5" t="s">
        <v>18</v>
      </c>
      <c r="C432" s="5" t="n">
        <v>11</v>
      </c>
      <c r="D432" s="5" t="s">
        <v>282</v>
      </c>
      <c r="E432" s="77" t="n">
        <f aca="false">Forecast!K30</f>
        <v>24000</v>
      </c>
    </row>
    <row r="433" customFormat="false" ht="15" hidden="false" customHeight="false" outlineLevel="0" collapsed="false">
      <c r="A433" s="76" t="n">
        <v>46296</v>
      </c>
      <c r="B433" s="5" t="s">
        <v>18</v>
      </c>
      <c r="C433" s="5" t="n">
        <v>12</v>
      </c>
      <c r="D433" s="5" t="s">
        <v>282</v>
      </c>
      <c r="E433" s="77" t="n">
        <f aca="false">Forecast!K31</f>
        <v>13000</v>
      </c>
    </row>
    <row r="434" customFormat="false" ht="15" hidden="false" customHeight="false" outlineLevel="0" collapsed="false">
      <c r="A434" s="76" t="n">
        <v>46296</v>
      </c>
      <c r="B434" s="5" t="s">
        <v>18</v>
      </c>
      <c r="C434" s="5" t="n">
        <v>13</v>
      </c>
      <c r="D434" s="5" t="s">
        <v>282</v>
      </c>
      <c r="E434" s="77" t="n">
        <f aca="false">Forecast!K32</f>
        <v>12960</v>
      </c>
    </row>
    <row r="435" customFormat="false" ht="15" hidden="false" customHeight="false" outlineLevel="0" collapsed="false">
      <c r="A435" s="76" t="n">
        <v>46296</v>
      </c>
      <c r="B435" s="5" t="s">
        <v>18</v>
      </c>
      <c r="C435" s="5" t="n">
        <v>14</v>
      </c>
      <c r="D435" s="5" t="s">
        <v>282</v>
      </c>
      <c r="E435" s="77" t="n">
        <f aca="false">Forecast!K33</f>
        <v>18500</v>
      </c>
    </row>
    <row r="436" customFormat="false" ht="15" hidden="false" customHeight="false" outlineLevel="0" collapsed="false">
      <c r="A436" s="76" t="n">
        <v>46327</v>
      </c>
      <c r="B436" s="5" t="s">
        <v>18</v>
      </c>
      <c r="C436" s="5" t="n">
        <v>1</v>
      </c>
      <c r="D436" s="5" t="s">
        <v>66</v>
      </c>
      <c r="E436" s="77" t="n">
        <f aca="false">Forecast!L12</f>
        <v>1142100</v>
      </c>
    </row>
    <row r="437" customFormat="false" ht="15" hidden="false" customHeight="false" outlineLevel="0" collapsed="false">
      <c r="A437" s="76" t="n">
        <v>46327</v>
      </c>
      <c r="B437" s="5" t="s">
        <v>18</v>
      </c>
      <c r="C437" s="5" t="n">
        <v>2</v>
      </c>
      <c r="D437" s="5" t="s">
        <v>67</v>
      </c>
      <c r="E437" s="77" t="n">
        <f aca="false">Forecast!L13</f>
        <v>936000</v>
      </c>
    </row>
    <row r="438" customFormat="false" ht="15" hidden="false" customHeight="false" outlineLevel="0" collapsed="false">
      <c r="A438" s="76" t="n">
        <v>46327</v>
      </c>
      <c r="B438" s="5" t="s">
        <v>18</v>
      </c>
      <c r="C438" s="5" t="n">
        <v>3</v>
      </c>
      <c r="D438" s="5" t="s">
        <v>68</v>
      </c>
      <c r="E438" s="77" t="n">
        <f aca="false">Forecast!L14</f>
        <v>892320</v>
      </c>
    </row>
    <row r="439" customFormat="false" ht="15" hidden="false" customHeight="false" outlineLevel="0" collapsed="false">
      <c r="A439" s="76" t="n">
        <v>46327</v>
      </c>
      <c r="B439" s="5" t="s">
        <v>18</v>
      </c>
      <c r="C439" s="5" t="n">
        <v>4</v>
      </c>
      <c r="D439" s="5" t="s">
        <v>282</v>
      </c>
      <c r="E439" s="77" t="n">
        <f aca="false">Forecast!L18</f>
        <v>1101759</v>
      </c>
    </row>
    <row r="440" customFormat="false" ht="15" hidden="false" customHeight="false" outlineLevel="0" collapsed="false">
      <c r="A440" s="76" t="n">
        <v>46327</v>
      </c>
      <c r="B440" s="5" t="s">
        <v>18</v>
      </c>
      <c r="C440" s="5" t="n">
        <v>5</v>
      </c>
      <c r="D440" s="5" t="s">
        <v>282</v>
      </c>
      <c r="E440" s="77" t="n">
        <f aca="false">Forecast!L19</f>
        <v>344862</v>
      </c>
    </row>
    <row r="441" customFormat="false" ht="15" hidden="false" customHeight="false" outlineLevel="0" collapsed="false">
      <c r="A441" s="76" t="n">
        <v>46327</v>
      </c>
      <c r="B441" s="5" t="s">
        <v>18</v>
      </c>
      <c r="C441" s="5" t="n">
        <v>6</v>
      </c>
      <c r="D441" s="5" t="s">
        <v>282</v>
      </c>
      <c r="E441" s="77" t="n">
        <f aca="false">Forecast!L20</f>
        <v>148521</v>
      </c>
    </row>
    <row r="442" customFormat="false" ht="15" hidden="false" customHeight="false" outlineLevel="0" collapsed="false">
      <c r="A442" s="76" t="n">
        <v>46327</v>
      </c>
      <c r="B442" s="5" t="s">
        <v>18</v>
      </c>
      <c r="C442" s="5" t="n">
        <v>7</v>
      </c>
      <c r="D442" s="5" t="s">
        <v>282</v>
      </c>
      <c r="E442" s="77" t="n">
        <f aca="false">Forecast!L26</f>
        <v>298000</v>
      </c>
    </row>
    <row r="443" customFormat="false" ht="15" hidden="false" customHeight="false" outlineLevel="0" collapsed="false">
      <c r="A443" s="76" t="n">
        <v>46327</v>
      </c>
      <c r="B443" s="5" t="s">
        <v>18</v>
      </c>
      <c r="C443" s="5" t="n">
        <v>8</v>
      </c>
      <c r="D443" s="5" t="s">
        <v>282</v>
      </c>
      <c r="E443" s="77" t="n">
        <f aca="false">Forecast!L27</f>
        <v>273278.64</v>
      </c>
    </row>
    <row r="444" customFormat="false" ht="15" hidden="false" customHeight="false" outlineLevel="0" collapsed="false">
      <c r="A444" s="76" t="n">
        <v>46327</v>
      </c>
      <c r="B444" s="5" t="s">
        <v>18</v>
      </c>
      <c r="C444" s="5" t="n">
        <v>9</v>
      </c>
      <c r="D444" s="5" t="s">
        <v>282</v>
      </c>
      <c r="E444" s="77" t="n">
        <f aca="false">Forecast!L28</f>
        <v>64100</v>
      </c>
    </row>
    <row r="445" customFormat="false" ht="15" hidden="false" customHeight="false" outlineLevel="0" collapsed="false">
      <c r="A445" s="76" t="n">
        <v>46327</v>
      </c>
      <c r="B445" s="5" t="s">
        <v>18</v>
      </c>
      <c r="C445" s="5" t="n">
        <v>10</v>
      </c>
      <c r="D445" s="5" t="s">
        <v>282</v>
      </c>
      <c r="E445" s="77" t="n">
        <f aca="false">Forecast!L29</f>
        <v>44700</v>
      </c>
    </row>
    <row r="446" customFormat="false" ht="15" hidden="false" customHeight="false" outlineLevel="0" collapsed="false">
      <c r="A446" s="76" t="n">
        <v>46327</v>
      </c>
      <c r="B446" s="5" t="s">
        <v>18</v>
      </c>
      <c r="C446" s="5" t="n">
        <v>11</v>
      </c>
      <c r="D446" s="5" t="s">
        <v>282</v>
      </c>
      <c r="E446" s="77" t="n">
        <f aca="false">Forecast!L30</f>
        <v>24000</v>
      </c>
    </row>
    <row r="447" customFormat="false" ht="15" hidden="false" customHeight="false" outlineLevel="0" collapsed="false">
      <c r="A447" s="76" t="n">
        <v>46327</v>
      </c>
      <c r="B447" s="5" t="s">
        <v>18</v>
      </c>
      <c r="C447" s="5" t="n">
        <v>12</v>
      </c>
      <c r="D447" s="5" t="s">
        <v>282</v>
      </c>
      <c r="E447" s="77" t="n">
        <f aca="false">Forecast!L31</f>
        <v>13000</v>
      </c>
    </row>
    <row r="448" customFormat="false" ht="15" hidden="false" customHeight="false" outlineLevel="0" collapsed="false">
      <c r="A448" s="76" t="n">
        <v>46327</v>
      </c>
      <c r="B448" s="5" t="s">
        <v>18</v>
      </c>
      <c r="C448" s="5" t="n">
        <v>13</v>
      </c>
      <c r="D448" s="5" t="s">
        <v>282</v>
      </c>
      <c r="E448" s="77" t="n">
        <f aca="false">Forecast!L32</f>
        <v>12960</v>
      </c>
    </row>
    <row r="449" customFormat="false" ht="15" hidden="false" customHeight="false" outlineLevel="0" collapsed="false">
      <c r="A449" s="76" t="n">
        <v>46327</v>
      </c>
      <c r="B449" s="5" t="s">
        <v>18</v>
      </c>
      <c r="C449" s="5" t="n">
        <v>14</v>
      </c>
      <c r="D449" s="5" t="s">
        <v>282</v>
      </c>
      <c r="E449" s="77" t="n">
        <f aca="false">Forecast!L33</f>
        <v>18500</v>
      </c>
    </row>
    <row r="450" customFormat="false" ht="15" hidden="false" customHeight="false" outlineLevel="0" collapsed="false">
      <c r="A450" s="76" t="n">
        <v>46357</v>
      </c>
      <c r="B450" s="5" t="s">
        <v>18</v>
      </c>
      <c r="C450" s="5" t="n">
        <v>1</v>
      </c>
      <c r="D450" s="5" t="s">
        <v>66</v>
      </c>
      <c r="E450" s="77" t="n">
        <f aca="false">Forecast!M12</f>
        <v>1050732</v>
      </c>
    </row>
    <row r="451" customFormat="false" ht="15" hidden="false" customHeight="false" outlineLevel="0" collapsed="false">
      <c r="A451" s="76" t="n">
        <v>46357</v>
      </c>
      <c r="B451" s="5" t="s">
        <v>18</v>
      </c>
      <c r="C451" s="5" t="n">
        <v>2</v>
      </c>
      <c r="D451" s="5" t="s">
        <v>67</v>
      </c>
      <c r="E451" s="77" t="n">
        <f aca="false">Forecast!M13</f>
        <v>861120</v>
      </c>
    </row>
    <row r="452" customFormat="false" ht="15" hidden="false" customHeight="false" outlineLevel="0" collapsed="false">
      <c r="A452" s="76" t="n">
        <v>46357</v>
      </c>
      <c r="B452" s="5" t="s">
        <v>18</v>
      </c>
      <c r="C452" s="5" t="n">
        <v>3</v>
      </c>
      <c r="D452" s="5" t="s">
        <v>68</v>
      </c>
      <c r="E452" s="77" t="n">
        <f aca="false">Forecast!M14</f>
        <v>820934.4</v>
      </c>
    </row>
    <row r="453" customFormat="false" ht="15" hidden="false" customHeight="false" outlineLevel="0" collapsed="false">
      <c r="A453" s="76" t="n">
        <v>46357</v>
      </c>
      <c r="B453" s="5" t="s">
        <v>18</v>
      </c>
      <c r="C453" s="5" t="n">
        <v>4</v>
      </c>
      <c r="D453" s="5" t="s">
        <v>282</v>
      </c>
      <c r="E453" s="77" t="n">
        <f aca="false">Forecast!M18</f>
        <v>1013618.28</v>
      </c>
    </row>
    <row r="454" customFormat="false" ht="15" hidden="false" customHeight="false" outlineLevel="0" collapsed="false">
      <c r="A454" s="76" t="n">
        <v>46357</v>
      </c>
      <c r="B454" s="5" t="s">
        <v>18</v>
      </c>
      <c r="C454" s="5" t="n">
        <v>5</v>
      </c>
      <c r="D454" s="5" t="s">
        <v>282</v>
      </c>
      <c r="E454" s="77" t="n">
        <f aca="false">Forecast!M19</f>
        <v>317273.04</v>
      </c>
    </row>
    <row r="455" customFormat="false" ht="15" hidden="false" customHeight="false" outlineLevel="0" collapsed="false">
      <c r="A455" s="76" t="n">
        <v>46357</v>
      </c>
      <c r="B455" s="5" t="s">
        <v>18</v>
      </c>
      <c r="C455" s="5" t="n">
        <v>6</v>
      </c>
      <c r="D455" s="5" t="s">
        <v>282</v>
      </c>
      <c r="E455" s="77" t="n">
        <f aca="false">Forecast!M20</f>
        <v>136639.32</v>
      </c>
    </row>
    <row r="456" customFormat="false" ht="15" hidden="false" customHeight="false" outlineLevel="0" collapsed="false">
      <c r="A456" s="76" t="n">
        <v>46357</v>
      </c>
      <c r="B456" s="5" t="s">
        <v>18</v>
      </c>
      <c r="C456" s="5" t="n">
        <v>7</v>
      </c>
      <c r="D456" s="5" t="s">
        <v>282</v>
      </c>
      <c r="E456" s="77" t="n">
        <f aca="false">Forecast!M26</f>
        <v>298000</v>
      </c>
    </row>
    <row r="457" customFormat="false" ht="15" hidden="false" customHeight="false" outlineLevel="0" collapsed="false">
      <c r="A457" s="76" t="n">
        <v>46357</v>
      </c>
      <c r="B457" s="5" t="s">
        <v>18</v>
      </c>
      <c r="C457" s="5" t="n">
        <v>8</v>
      </c>
      <c r="D457" s="5" t="s">
        <v>282</v>
      </c>
      <c r="E457" s="77" t="n">
        <f aca="false">Forecast!M27</f>
        <v>251416.3488</v>
      </c>
    </row>
    <row r="458" customFormat="false" ht="15" hidden="false" customHeight="false" outlineLevel="0" collapsed="false">
      <c r="A458" s="76" t="n">
        <v>46357</v>
      </c>
      <c r="B458" s="5" t="s">
        <v>18</v>
      </c>
      <c r="C458" s="5" t="n">
        <v>9</v>
      </c>
      <c r="D458" s="5" t="s">
        <v>282</v>
      </c>
      <c r="E458" s="77" t="n">
        <f aca="false">Forecast!M28</f>
        <v>64100</v>
      </c>
    </row>
    <row r="459" customFormat="false" ht="15" hidden="false" customHeight="false" outlineLevel="0" collapsed="false">
      <c r="A459" s="76" t="n">
        <v>46357</v>
      </c>
      <c r="B459" s="5" t="s">
        <v>18</v>
      </c>
      <c r="C459" s="5" t="n">
        <v>10</v>
      </c>
      <c r="D459" s="5" t="s">
        <v>282</v>
      </c>
      <c r="E459" s="77" t="n">
        <f aca="false">Forecast!M29</f>
        <v>44700</v>
      </c>
    </row>
    <row r="460" customFormat="false" ht="15" hidden="false" customHeight="false" outlineLevel="0" collapsed="false">
      <c r="A460" s="76" t="n">
        <v>46357</v>
      </c>
      <c r="B460" s="5" t="s">
        <v>18</v>
      </c>
      <c r="C460" s="5" t="n">
        <v>11</v>
      </c>
      <c r="D460" s="5" t="s">
        <v>282</v>
      </c>
      <c r="E460" s="77" t="n">
        <f aca="false">Forecast!M30</f>
        <v>24000</v>
      </c>
    </row>
    <row r="461" customFormat="false" ht="15" hidden="false" customHeight="false" outlineLevel="0" collapsed="false">
      <c r="A461" s="76" t="n">
        <v>46357</v>
      </c>
      <c r="B461" s="5" t="s">
        <v>18</v>
      </c>
      <c r="C461" s="5" t="n">
        <v>12</v>
      </c>
      <c r="D461" s="5" t="s">
        <v>282</v>
      </c>
      <c r="E461" s="77" t="n">
        <f aca="false">Forecast!M31</f>
        <v>13000</v>
      </c>
    </row>
    <row r="462" customFormat="false" ht="15" hidden="false" customHeight="false" outlineLevel="0" collapsed="false">
      <c r="A462" s="76" t="n">
        <v>46357</v>
      </c>
      <c r="B462" s="5" t="s">
        <v>18</v>
      </c>
      <c r="C462" s="5" t="n">
        <v>13</v>
      </c>
      <c r="D462" s="5" t="s">
        <v>282</v>
      </c>
      <c r="E462" s="77" t="n">
        <f aca="false">Forecast!M32</f>
        <v>12960</v>
      </c>
    </row>
    <row r="463" customFormat="false" ht="15" hidden="false" customHeight="false" outlineLevel="0" collapsed="false">
      <c r="A463" s="76" t="n">
        <v>46357</v>
      </c>
      <c r="B463" s="5" t="s">
        <v>18</v>
      </c>
      <c r="C463" s="5" t="n">
        <v>14</v>
      </c>
      <c r="D463" s="5" t="s">
        <v>282</v>
      </c>
      <c r="E463" s="77" t="n">
        <f aca="false">Forecast!M33</f>
        <v>18500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D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4"/>
  </cols>
  <sheetData>
    <row r="1" customFormat="false" ht="15" hidden="false" customHeight="false" outlineLevel="0" collapsed="false">
      <c r="A1" s="75" t="s">
        <v>278</v>
      </c>
      <c r="B1" s="75" t="s">
        <v>279</v>
      </c>
      <c r="C1" s="75" t="s">
        <v>281</v>
      </c>
      <c r="D1" s="75" t="s">
        <v>283</v>
      </c>
    </row>
    <row r="2" customFormat="false" ht="15" hidden="false" customHeight="false" outlineLevel="0" collapsed="false">
      <c r="A2" s="76" t="n">
        <v>46023</v>
      </c>
      <c r="B2" s="5" t="s">
        <v>20</v>
      </c>
      <c r="C2" s="5" t="s">
        <v>66</v>
      </c>
      <c r="D2" s="77" t="n">
        <f aca="false">Budget!B6</f>
        <v>11700</v>
      </c>
    </row>
    <row r="3" customFormat="false" ht="15" hidden="false" customHeight="false" outlineLevel="0" collapsed="false">
      <c r="A3" s="76" t="n">
        <v>46023</v>
      </c>
      <c r="B3" s="5" t="s">
        <v>20</v>
      </c>
      <c r="C3" s="5" t="s">
        <v>67</v>
      </c>
      <c r="D3" s="77" t="n">
        <f aca="false">Budget!B7</f>
        <v>7800</v>
      </c>
    </row>
    <row r="4" customFormat="false" ht="15" hidden="false" customHeight="false" outlineLevel="0" collapsed="false">
      <c r="A4" s="76" t="n">
        <v>46023</v>
      </c>
      <c r="B4" s="5" t="s">
        <v>20</v>
      </c>
      <c r="C4" s="5" t="s">
        <v>68</v>
      </c>
      <c r="D4" s="77" t="n">
        <f aca="false">Budget!B8</f>
        <v>3900</v>
      </c>
    </row>
    <row r="5" customFormat="false" ht="15" hidden="false" customHeight="false" outlineLevel="0" collapsed="false">
      <c r="A5" s="76" t="n">
        <v>46054</v>
      </c>
      <c r="B5" s="5" t="s">
        <v>20</v>
      </c>
      <c r="C5" s="5" t="s">
        <v>66</v>
      </c>
      <c r="D5" s="77" t="n">
        <f aca="false">Budget!C6</f>
        <v>11700</v>
      </c>
    </row>
    <row r="6" customFormat="false" ht="15" hidden="false" customHeight="false" outlineLevel="0" collapsed="false">
      <c r="A6" s="76" t="n">
        <v>46054</v>
      </c>
      <c r="B6" s="5" t="s">
        <v>20</v>
      </c>
      <c r="C6" s="5" t="s">
        <v>67</v>
      </c>
      <c r="D6" s="77" t="n">
        <f aca="false">Budget!C7</f>
        <v>7800</v>
      </c>
    </row>
    <row r="7" customFormat="false" ht="15" hidden="false" customHeight="false" outlineLevel="0" collapsed="false">
      <c r="A7" s="76" t="n">
        <v>46054</v>
      </c>
      <c r="B7" s="5" t="s">
        <v>20</v>
      </c>
      <c r="C7" s="5" t="s">
        <v>68</v>
      </c>
      <c r="D7" s="77" t="n">
        <f aca="false">Budget!C8</f>
        <v>3900</v>
      </c>
    </row>
    <row r="8" customFormat="false" ht="15" hidden="false" customHeight="false" outlineLevel="0" collapsed="false">
      <c r="A8" s="76" t="n">
        <v>46082</v>
      </c>
      <c r="B8" s="5" t="s">
        <v>20</v>
      </c>
      <c r="C8" s="5" t="s">
        <v>66</v>
      </c>
      <c r="D8" s="77" t="n">
        <f aca="false">Budget!D6</f>
        <v>13500</v>
      </c>
    </row>
    <row r="9" customFormat="false" ht="15" hidden="false" customHeight="false" outlineLevel="0" collapsed="false">
      <c r="A9" s="76" t="n">
        <v>46082</v>
      </c>
      <c r="B9" s="5" t="s">
        <v>20</v>
      </c>
      <c r="C9" s="5" t="s">
        <v>67</v>
      </c>
      <c r="D9" s="77" t="n">
        <f aca="false">Budget!D7</f>
        <v>9000</v>
      </c>
    </row>
    <row r="10" customFormat="false" ht="15" hidden="false" customHeight="false" outlineLevel="0" collapsed="false">
      <c r="A10" s="76" t="n">
        <v>46082</v>
      </c>
      <c r="B10" s="5" t="s">
        <v>20</v>
      </c>
      <c r="C10" s="5" t="s">
        <v>68</v>
      </c>
      <c r="D10" s="77" t="n">
        <f aca="false">Budget!D8</f>
        <v>4500</v>
      </c>
    </row>
    <row r="11" customFormat="false" ht="15" hidden="false" customHeight="false" outlineLevel="0" collapsed="false">
      <c r="A11" s="76" t="n">
        <v>46113</v>
      </c>
      <c r="B11" s="5" t="s">
        <v>20</v>
      </c>
      <c r="C11" s="5" t="s">
        <v>66</v>
      </c>
      <c r="D11" s="77" t="n">
        <f aca="false">Budget!E6</f>
        <v>13500</v>
      </c>
    </row>
    <row r="12" customFormat="false" ht="15" hidden="false" customHeight="false" outlineLevel="0" collapsed="false">
      <c r="A12" s="76" t="n">
        <v>46113</v>
      </c>
      <c r="B12" s="5" t="s">
        <v>20</v>
      </c>
      <c r="C12" s="5" t="s">
        <v>67</v>
      </c>
      <c r="D12" s="77" t="n">
        <f aca="false">Budget!E7</f>
        <v>9000</v>
      </c>
    </row>
    <row r="13" customFormat="false" ht="15" hidden="false" customHeight="false" outlineLevel="0" collapsed="false">
      <c r="A13" s="76" t="n">
        <v>46113</v>
      </c>
      <c r="B13" s="5" t="s">
        <v>20</v>
      </c>
      <c r="C13" s="5" t="s">
        <v>68</v>
      </c>
      <c r="D13" s="77" t="n">
        <f aca="false">Budget!E8</f>
        <v>4500</v>
      </c>
    </row>
    <row r="14" customFormat="false" ht="15" hidden="false" customHeight="false" outlineLevel="0" collapsed="false">
      <c r="A14" s="76" t="n">
        <v>46143</v>
      </c>
      <c r="B14" s="5" t="s">
        <v>20</v>
      </c>
      <c r="C14" s="5" t="s">
        <v>66</v>
      </c>
      <c r="D14" s="77" t="n">
        <f aca="false">Budget!F6</f>
        <v>14400</v>
      </c>
    </row>
    <row r="15" customFormat="false" ht="15" hidden="false" customHeight="false" outlineLevel="0" collapsed="false">
      <c r="A15" s="76" t="n">
        <v>46143</v>
      </c>
      <c r="B15" s="5" t="s">
        <v>20</v>
      </c>
      <c r="C15" s="5" t="s">
        <v>67</v>
      </c>
      <c r="D15" s="77" t="n">
        <f aca="false">Budget!F7</f>
        <v>9600</v>
      </c>
    </row>
    <row r="16" customFormat="false" ht="15" hidden="false" customHeight="false" outlineLevel="0" collapsed="false">
      <c r="A16" s="76" t="n">
        <v>46143</v>
      </c>
      <c r="B16" s="5" t="s">
        <v>20</v>
      </c>
      <c r="C16" s="5" t="s">
        <v>68</v>
      </c>
      <c r="D16" s="77" t="n">
        <f aca="false">Budget!F8</f>
        <v>4800</v>
      </c>
    </row>
    <row r="17" customFormat="false" ht="15" hidden="false" customHeight="false" outlineLevel="0" collapsed="false">
      <c r="A17" s="76" t="n">
        <v>46174</v>
      </c>
      <c r="B17" s="5" t="s">
        <v>20</v>
      </c>
      <c r="C17" s="5" t="s">
        <v>66</v>
      </c>
      <c r="D17" s="77" t="n">
        <f aca="false">Budget!G6</f>
        <v>13500</v>
      </c>
    </row>
    <row r="18" customFormat="false" ht="15" hidden="false" customHeight="false" outlineLevel="0" collapsed="false">
      <c r="A18" s="76" t="n">
        <v>46174</v>
      </c>
      <c r="B18" s="5" t="s">
        <v>20</v>
      </c>
      <c r="C18" s="5" t="s">
        <v>67</v>
      </c>
      <c r="D18" s="77" t="n">
        <f aca="false">Budget!G7</f>
        <v>9000</v>
      </c>
    </row>
    <row r="19" customFormat="false" ht="15" hidden="false" customHeight="false" outlineLevel="0" collapsed="false">
      <c r="A19" s="76" t="n">
        <v>46174</v>
      </c>
      <c r="B19" s="5" t="s">
        <v>20</v>
      </c>
      <c r="C19" s="5" t="s">
        <v>68</v>
      </c>
      <c r="D19" s="77" t="n">
        <f aca="false">Budget!G8</f>
        <v>4500</v>
      </c>
    </row>
    <row r="20" customFormat="false" ht="15" hidden="false" customHeight="false" outlineLevel="0" collapsed="false">
      <c r="A20" s="76" t="n">
        <v>46204</v>
      </c>
      <c r="B20" s="5" t="s">
        <v>20</v>
      </c>
      <c r="C20" s="5" t="s">
        <v>66</v>
      </c>
      <c r="D20" s="77" t="n">
        <f aca="false">Budget!H6</f>
        <v>12600</v>
      </c>
    </row>
    <row r="21" customFormat="false" ht="15" hidden="false" customHeight="false" outlineLevel="0" collapsed="false">
      <c r="A21" s="76" t="n">
        <v>46204</v>
      </c>
      <c r="B21" s="5" t="s">
        <v>20</v>
      </c>
      <c r="C21" s="5" t="s">
        <v>67</v>
      </c>
      <c r="D21" s="77" t="n">
        <f aca="false">Budget!H7</f>
        <v>8400</v>
      </c>
    </row>
    <row r="22" customFormat="false" ht="15" hidden="false" customHeight="false" outlineLevel="0" collapsed="false">
      <c r="A22" s="76" t="n">
        <v>46204</v>
      </c>
      <c r="B22" s="5" t="s">
        <v>20</v>
      </c>
      <c r="C22" s="5" t="s">
        <v>68</v>
      </c>
      <c r="D22" s="77" t="n">
        <f aca="false">Budget!H8</f>
        <v>4200</v>
      </c>
    </row>
    <row r="23" customFormat="false" ht="15" hidden="false" customHeight="false" outlineLevel="0" collapsed="false">
      <c r="A23" s="76" t="n">
        <v>46235</v>
      </c>
      <c r="B23" s="5" t="s">
        <v>20</v>
      </c>
      <c r="C23" s="5" t="s">
        <v>66</v>
      </c>
      <c r="D23" s="77" t="n">
        <f aca="false">Budget!I6</f>
        <v>13500</v>
      </c>
    </row>
    <row r="24" customFormat="false" ht="15" hidden="false" customHeight="false" outlineLevel="0" collapsed="false">
      <c r="A24" s="76" t="n">
        <v>46235</v>
      </c>
      <c r="B24" s="5" t="s">
        <v>20</v>
      </c>
      <c r="C24" s="5" t="s">
        <v>67</v>
      </c>
      <c r="D24" s="77" t="n">
        <f aca="false">Budget!I7</f>
        <v>9000</v>
      </c>
    </row>
    <row r="25" customFormat="false" ht="15" hidden="false" customHeight="false" outlineLevel="0" collapsed="false">
      <c r="A25" s="76" t="n">
        <v>46235</v>
      </c>
      <c r="B25" s="5" t="s">
        <v>20</v>
      </c>
      <c r="C25" s="5" t="s">
        <v>68</v>
      </c>
      <c r="D25" s="77" t="n">
        <f aca="false">Budget!I8</f>
        <v>4500</v>
      </c>
    </row>
    <row r="26" customFormat="false" ht="15" hidden="false" customHeight="false" outlineLevel="0" collapsed="false">
      <c r="A26" s="76" t="n">
        <v>46266</v>
      </c>
      <c r="B26" s="5" t="s">
        <v>20</v>
      </c>
      <c r="C26" s="5" t="s">
        <v>66</v>
      </c>
      <c r="D26" s="77" t="n">
        <f aca="false">Budget!J6</f>
        <v>15300</v>
      </c>
    </row>
    <row r="27" customFormat="false" ht="15" hidden="false" customHeight="false" outlineLevel="0" collapsed="false">
      <c r="A27" s="76" t="n">
        <v>46266</v>
      </c>
      <c r="B27" s="5" t="s">
        <v>20</v>
      </c>
      <c r="C27" s="5" t="s">
        <v>67</v>
      </c>
      <c r="D27" s="77" t="n">
        <f aca="false">Budget!J7</f>
        <v>10200</v>
      </c>
    </row>
    <row r="28" customFormat="false" ht="15" hidden="false" customHeight="false" outlineLevel="0" collapsed="false">
      <c r="A28" s="76" t="n">
        <v>46266</v>
      </c>
      <c r="B28" s="5" t="s">
        <v>20</v>
      </c>
      <c r="C28" s="5" t="s">
        <v>68</v>
      </c>
      <c r="D28" s="77" t="n">
        <f aca="false">Budget!J8</f>
        <v>5100</v>
      </c>
    </row>
    <row r="29" customFormat="false" ht="15" hidden="false" customHeight="false" outlineLevel="0" collapsed="false">
      <c r="A29" s="76" t="n">
        <v>46296</v>
      </c>
      <c r="B29" s="5" t="s">
        <v>20</v>
      </c>
      <c r="C29" s="5" t="s">
        <v>66</v>
      </c>
      <c r="D29" s="77" t="n">
        <f aca="false">Budget!K6</f>
        <v>17100</v>
      </c>
    </row>
    <row r="30" customFormat="false" ht="15" hidden="false" customHeight="false" outlineLevel="0" collapsed="false">
      <c r="A30" s="76" t="n">
        <v>46296</v>
      </c>
      <c r="B30" s="5" t="s">
        <v>20</v>
      </c>
      <c r="C30" s="5" t="s">
        <v>67</v>
      </c>
      <c r="D30" s="77" t="n">
        <f aca="false">Budget!K7</f>
        <v>11400</v>
      </c>
    </row>
    <row r="31" customFormat="false" ht="15" hidden="false" customHeight="false" outlineLevel="0" collapsed="false">
      <c r="A31" s="76" t="n">
        <v>46296</v>
      </c>
      <c r="B31" s="5" t="s">
        <v>20</v>
      </c>
      <c r="C31" s="5" t="s">
        <v>68</v>
      </c>
      <c r="D31" s="77" t="n">
        <f aca="false">Budget!K8</f>
        <v>5700</v>
      </c>
    </row>
    <row r="32" customFormat="false" ht="15" hidden="false" customHeight="false" outlineLevel="0" collapsed="false">
      <c r="A32" s="76" t="n">
        <v>46327</v>
      </c>
      <c r="B32" s="5" t="s">
        <v>20</v>
      </c>
      <c r="C32" s="5" t="s">
        <v>66</v>
      </c>
      <c r="D32" s="77" t="n">
        <f aca="false">Budget!L6</f>
        <v>22500</v>
      </c>
    </row>
    <row r="33" customFormat="false" ht="15" hidden="false" customHeight="false" outlineLevel="0" collapsed="false">
      <c r="A33" s="76" t="n">
        <v>46327</v>
      </c>
      <c r="B33" s="5" t="s">
        <v>20</v>
      </c>
      <c r="C33" s="5" t="s">
        <v>67</v>
      </c>
      <c r="D33" s="77" t="n">
        <f aca="false">Budget!L7</f>
        <v>15000</v>
      </c>
    </row>
    <row r="34" customFormat="false" ht="15" hidden="false" customHeight="false" outlineLevel="0" collapsed="false">
      <c r="A34" s="76" t="n">
        <v>46327</v>
      </c>
      <c r="B34" s="5" t="s">
        <v>20</v>
      </c>
      <c r="C34" s="5" t="s">
        <v>68</v>
      </c>
      <c r="D34" s="77" t="n">
        <f aca="false">Budget!L8</f>
        <v>7500</v>
      </c>
    </row>
    <row r="35" customFormat="false" ht="15" hidden="false" customHeight="false" outlineLevel="0" collapsed="false">
      <c r="A35" s="76" t="n">
        <v>46357</v>
      </c>
      <c r="B35" s="5" t="s">
        <v>20</v>
      </c>
      <c r="C35" s="5" t="s">
        <v>66</v>
      </c>
      <c r="D35" s="77" t="n">
        <f aca="false">Budget!M6</f>
        <v>20700</v>
      </c>
    </row>
    <row r="36" customFormat="false" ht="15" hidden="false" customHeight="false" outlineLevel="0" collapsed="false">
      <c r="A36" s="76" t="n">
        <v>46357</v>
      </c>
      <c r="B36" s="5" t="s">
        <v>20</v>
      </c>
      <c r="C36" s="5" t="s">
        <v>67</v>
      </c>
      <c r="D36" s="77" t="n">
        <f aca="false">Budget!M7</f>
        <v>13800</v>
      </c>
    </row>
    <row r="37" customFormat="false" ht="15" hidden="false" customHeight="false" outlineLevel="0" collapsed="false">
      <c r="A37" s="76" t="n">
        <v>46357</v>
      </c>
      <c r="B37" s="5" t="s">
        <v>20</v>
      </c>
      <c r="C37" s="5" t="s">
        <v>68</v>
      </c>
      <c r="D37" s="77" t="n">
        <f aca="false">Budget!M8</f>
        <v>6900</v>
      </c>
    </row>
    <row r="38" customFormat="false" ht="15" hidden="false" customHeight="false" outlineLevel="0" collapsed="false">
      <c r="A38" s="76" t="n">
        <v>46023</v>
      </c>
      <c r="B38" s="5" t="s">
        <v>59</v>
      </c>
      <c r="C38" s="5" t="s">
        <v>66</v>
      </c>
      <c r="D38" s="77" t="n">
        <f aca="false">Actuals!B6</f>
        <v>11817</v>
      </c>
    </row>
    <row r="39" customFormat="false" ht="15" hidden="false" customHeight="false" outlineLevel="0" collapsed="false">
      <c r="A39" s="76" t="n">
        <v>46023</v>
      </c>
      <c r="B39" s="5" t="s">
        <v>59</v>
      </c>
      <c r="C39" s="5" t="s">
        <v>67</v>
      </c>
      <c r="D39" s="77" t="n">
        <f aca="false">Actuals!B7</f>
        <v>7800</v>
      </c>
    </row>
    <row r="40" customFormat="false" ht="15" hidden="false" customHeight="false" outlineLevel="0" collapsed="false">
      <c r="A40" s="76" t="n">
        <v>46023</v>
      </c>
      <c r="B40" s="5" t="s">
        <v>59</v>
      </c>
      <c r="C40" s="5" t="s">
        <v>68</v>
      </c>
      <c r="D40" s="77" t="n">
        <f aca="false">Actuals!B8</f>
        <v>3861</v>
      </c>
    </row>
    <row r="41" customFormat="false" ht="15" hidden="false" customHeight="false" outlineLevel="0" collapsed="false">
      <c r="A41" s="76" t="n">
        <v>46054</v>
      </c>
      <c r="B41" s="5" t="s">
        <v>59</v>
      </c>
      <c r="C41" s="5" t="s">
        <v>66</v>
      </c>
      <c r="D41" s="77" t="n">
        <f aca="false">Actuals!C6</f>
        <v>11583</v>
      </c>
    </row>
    <row r="42" customFormat="false" ht="15" hidden="false" customHeight="false" outlineLevel="0" collapsed="false">
      <c r="A42" s="76" t="n">
        <v>46054</v>
      </c>
      <c r="B42" s="5" t="s">
        <v>59</v>
      </c>
      <c r="C42" s="5" t="s">
        <v>67</v>
      </c>
      <c r="D42" s="77" t="n">
        <f aca="false">Actuals!C7</f>
        <v>7644</v>
      </c>
    </row>
    <row r="43" customFormat="false" ht="15" hidden="false" customHeight="false" outlineLevel="0" collapsed="false">
      <c r="A43" s="76" t="n">
        <v>46054</v>
      </c>
      <c r="B43" s="5" t="s">
        <v>59</v>
      </c>
      <c r="C43" s="5" t="s">
        <v>68</v>
      </c>
      <c r="D43" s="77" t="n">
        <f aca="false">Actuals!C8</f>
        <v>3978</v>
      </c>
    </row>
    <row r="44" customFormat="false" ht="15" hidden="false" customHeight="false" outlineLevel="0" collapsed="false">
      <c r="A44" s="76" t="n">
        <v>46082</v>
      </c>
      <c r="B44" s="5" t="s">
        <v>59</v>
      </c>
      <c r="C44" s="5" t="s">
        <v>66</v>
      </c>
      <c r="D44" s="77" t="n">
        <f aca="false">Actuals!D6</f>
        <v>14040</v>
      </c>
    </row>
    <row r="45" customFormat="false" ht="15" hidden="false" customHeight="false" outlineLevel="0" collapsed="false">
      <c r="A45" s="76" t="n">
        <v>46082</v>
      </c>
      <c r="B45" s="5" t="s">
        <v>59</v>
      </c>
      <c r="C45" s="5" t="s">
        <v>67</v>
      </c>
      <c r="D45" s="77" t="n">
        <f aca="false">Actuals!D7</f>
        <v>8910</v>
      </c>
    </row>
    <row r="46" customFormat="false" ht="15" hidden="false" customHeight="false" outlineLevel="0" collapsed="false">
      <c r="A46" s="76" t="n">
        <v>46082</v>
      </c>
      <c r="B46" s="5" t="s">
        <v>59</v>
      </c>
      <c r="C46" s="5" t="s">
        <v>68</v>
      </c>
      <c r="D46" s="77" t="n">
        <f aca="false">Actuals!D8</f>
        <v>4635</v>
      </c>
    </row>
    <row r="47" customFormat="false" ht="15" hidden="false" customHeight="false" outlineLevel="0" collapsed="false">
      <c r="A47" s="76" t="n">
        <v>46113</v>
      </c>
      <c r="B47" s="5" t="s">
        <v>59</v>
      </c>
      <c r="C47" s="5" t="s">
        <v>66</v>
      </c>
      <c r="D47" s="77" t="n">
        <f aca="false">Actuals!E6</f>
        <v>14580</v>
      </c>
    </row>
    <row r="48" customFormat="false" ht="15" hidden="false" customHeight="false" outlineLevel="0" collapsed="false">
      <c r="A48" s="76" t="n">
        <v>46113</v>
      </c>
      <c r="B48" s="5" t="s">
        <v>59</v>
      </c>
      <c r="C48" s="5" t="s">
        <v>67</v>
      </c>
      <c r="D48" s="77" t="n">
        <f aca="false">Actuals!E7</f>
        <v>8730</v>
      </c>
    </row>
    <row r="49" customFormat="false" ht="15" hidden="false" customHeight="false" outlineLevel="0" collapsed="false">
      <c r="A49" s="76" t="n">
        <v>46113</v>
      </c>
      <c r="B49" s="5" t="s">
        <v>59</v>
      </c>
      <c r="C49" s="5" t="s">
        <v>68</v>
      </c>
      <c r="D49" s="77" t="n">
        <f aca="false">Actuals!E8</f>
        <v>4545</v>
      </c>
    </row>
    <row r="50" customFormat="false" ht="15" hidden="false" customHeight="false" outlineLevel="0" collapsed="false">
      <c r="A50" s="76" t="n">
        <v>46143</v>
      </c>
      <c r="B50" s="5" t="s">
        <v>59</v>
      </c>
      <c r="C50" s="5" t="s">
        <v>66</v>
      </c>
      <c r="D50" s="77" t="n">
        <f aca="false">Actuals!F6</f>
        <v>15696</v>
      </c>
    </row>
    <row r="51" customFormat="false" ht="15" hidden="false" customHeight="false" outlineLevel="0" collapsed="false">
      <c r="A51" s="76" t="n">
        <v>46143</v>
      </c>
      <c r="B51" s="5" t="s">
        <v>59</v>
      </c>
      <c r="C51" s="5" t="s">
        <v>67</v>
      </c>
      <c r="D51" s="77" t="n">
        <f aca="false">Actuals!F7</f>
        <v>8256</v>
      </c>
    </row>
    <row r="52" customFormat="false" ht="15" hidden="false" customHeight="false" outlineLevel="0" collapsed="false">
      <c r="A52" s="76" t="n">
        <v>46143</v>
      </c>
      <c r="B52" s="5" t="s">
        <v>59</v>
      </c>
      <c r="C52" s="5" t="s">
        <v>68</v>
      </c>
      <c r="D52" s="77" t="n">
        <f aca="false">Actuals!F8</f>
        <v>4944</v>
      </c>
    </row>
    <row r="53" customFormat="false" ht="15" hidden="false" customHeight="false" outlineLevel="0" collapsed="false">
      <c r="A53" s="76" t="n">
        <v>46174</v>
      </c>
      <c r="B53" s="5" t="s">
        <v>59</v>
      </c>
      <c r="C53" s="5" t="s">
        <v>66</v>
      </c>
      <c r="D53" s="77" t="n">
        <f aca="false">Actuals!G6</f>
        <v>14445</v>
      </c>
    </row>
    <row r="54" customFormat="false" ht="15" hidden="false" customHeight="false" outlineLevel="0" collapsed="false">
      <c r="A54" s="76" t="n">
        <v>46174</v>
      </c>
      <c r="B54" s="5" t="s">
        <v>59</v>
      </c>
      <c r="C54" s="5" t="s">
        <v>67</v>
      </c>
      <c r="D54" s="77" t="n">
        <f aca="false">Actuals!G7</f>
        <v>7200</v>
      </c>
    </row>
    <row r="55" customFormat="false" ht="15" hidden="false" customHeight="false" outlineLevel="0" collapsed="false">
      <c r="A55" s="76" t="n">
        <v>46174</v>
      </c>
      <c r="B55" s="5" t="s">
        <v>59</v>
      </c>
      <c r="C55" s="5" t="s">
        <v>68</v>
      </c>
      <c r="D55" s="77" t="n">
        <f aca="false">Actuals!G8</f>
        <v>4680</v>
      </c>
    </row>
    <row r="56" customFormat="false" ht="15" hidden="false" customHeight="false" outlineLevel="0" collapsed="false">
      <c r="A56" s="76" t="n">
        <v>46204</v>
      </c>
      <c r="B56" s="5" t="s">
        <v>59</v>
      </c>
      <c r="C56" s="5" t="s">
        <v>66</v>
      </c>
      <c r="D56" s="77" t="n">
        <f aca="false">Actuals!H6</f>
        <v>13608</v>
      </c>
    </row>
    <row r="57" customFormat="false" ht="15" hidden="false" customHeight="false" outlineLevel="0" collapsed="false">
      <c r="A57" s="76" t="n">
        <v>46204</v>
      </c>
      <c r="B57" s="5" t="s">
        <v>59</v>
      </c>
      <c r="C57" s="5" t="s">
        <v>67</v>
      </c>
      <c r="D57" s="77" t="n">
        <f aca="false">Actuals!H7</f>
        <v>7560</v>
      </c>
    </row>
    <row r="58" customFormat="false" ht="15" hidden="false" customHeight="false" outlineLevel="0" collapsed="false">
      <c r="A58" s="76" t="n">
        <v>46204</v>
      </c>
      <c r="B58" s="5" t="s">
        <v>59</v>
      </c>
      <c r="C58" s="5" t="s">
        <v>68</v>
      </c>
      <c r="D58" s="77" t="n">
        <f aca="false">Actuals!H8</f>
        <v>4326</v>
      </c>
    </row>
    <row r="59" customFormat="false" ht="15" hidden="false" customHeight="false" outlineLevel="0" collapsed="false">
      <c r="A59" s="76" t="n">
        <v>46235</v>
      </c>
      <c r="B59" s="5" t="s">
        <v>59</v>
      </c>
      <c r="C59" s="5" t="s">
        <v>66</v>
      </c>
      <c r="D59" s="77" t="n">
        <f aca="false">Actuals!I6</f>
        <v>14850</v>
      </c>
    </row>
    <row r="60" customFormat="false" ht="15" hidden="false" customHeight="false" outlineLevel="0" collapsed="false">
      <c r="A60" s="76" t="n">
        <v>46235</v>
      </c>
      <c r="B60" s="5" t="s">
        <v>59</v>
      </c>
      <c r="C60" s="5" t="s">
        <v>67</v>
      </c>
      <c r="D60" s="77" t="n">
        <f aca="false">Actuals!I7</f>
        <v>8550</v>
      </c>
    </row>
    <row r="61" customFormat="false" ht="15" hidden="false" customHeight="false" outlineLevel="0" collapsed="false">
      <c r="A61" s="76" t="n">
        <v>46235</v>
      </c>
      <c r="B61" s="5" t="s">
        <v>59</v>
      </c>
      <c r="C61" s="5" t="s">
        <v>68</v>
      </c>
      <c r="D61" s="77" t="n">
        <f aca="false">Actuals!I8</f>
        <v>4725</v>
      </c>
    </row>
    <row r="62" customFormat="false" ht="15" hidden="false" customHeight="false" outlineLevel="0" collapsed="false">
      <c r="A62" s="76" t="n">
        <v>46266</v>
      </c>
      <c r="B62" s="5" t="s">
        <v>59</v>
      </c>
      <c r="C62" s="5" t="s">
        <v>66</v>
      </c>
      <c r="D62" s="77" t="n">
        <f aca="false">Actuals!J6</f>
        <v>16677</v>
      </c>
    </row>
    <row r="63" customFormat="false" ht="15" hidden="false" customHeight="false" outlineLevel="0" collapsed="false">
      <c r="A63" s="76" t="n">
        <v>46266</v>
      </c>
      <c r="B63" s="5" t="s">
        <v>59</v>
      </c>
      <c r="C63" s="5" t="s">
        <v>67</v>
      </c>
      <c r="D63" s="77" t="n">
        <f aca="false">Actuals!J7</f>
        <v>9894</v>
      </c>
    </row>
    <row r="64" customFormat="false" ht="15" hidden="false" customHeight="false" outlineLevel="0" collapsed="false">
      <c r="A64" s="76" t="n">
        <v>46266</v>
      </c>
      <c r="B64" s="5" t="s">
        <v>59</v>
      </c>
      <c r="C64" s="5" t="s">
        <v>68</v>
      </c>
      <c r="D64" s="77" t="n">
        <f aca="false">Actuals!J8</f>
        <v>5304</v>
      </c>
    </row>
    <row r="65" customFormat="false" ht="15" hidden="false" customHeight="false" outlineLevel="0" collapsed="false">
      <c r="A65" s="76" t="n">
        <v>46023</v>
      </c>
      <c r="B65" s="5" t="s">
        <v>18</v>
      </c>
      <c r="C65" s="5" t="s">
        <v>66</v>
      </c>
      <c r="D65" s="77" t="n">
        <f aca="false">Forecast!B6</f>
        <v>11817</v>
      </c>
    </row>
    <row r="66" customFormat="false" ht="15" hidden="false" customHeight="false" outlineLevel="0" collapsed="false">
      <c r="A66" s="76" t="n">
        <v>46023</v>
      </c>
      <c r="B66" s="5" t="s">
        <v>18</v>
      </c>
      <c r="C66" s="5" t="s">
        <v>67</v>
      </c>
      <c r="D66" s="77" t="n">
        <f aca="false">Forecast!B7</f>
        <v>7800</v>
      </c>
    </row>
    <row r="67" customFormat="false" ht="15" hidden="false" customHeight="false" outlineLevel="0" collapsed="false">
      <c r="A67" s="76" t="n">
        <v>46023</v>
      </c>
      <c r="B67" s="5" t="s">
        <v>18</v>
      </c>
      <c r="C67" s="5" t="s">
        <v>68</v>
      </c>
      <c r="D67" s="77" t="n">
        <f aca="false">Forecast!B8</f>
        <v>3861</v>
      </c>
    </row>
    <row r="68" customFormat="false" ht="15" hidden="false" customHeight="false" outlineLevel="0" collapsed="false">
      <c r="A68" s="76" t="n">
        <v>46054</v>
      </c>
      <c r="B68" s="5" t="s">
        <v>18</v>
      </c>
      <c r="C68" s="5" t="s">
        <v>66</v>
      </c>
      <c r="D68" s="77" t="n">
        <f aca="false">Forecast!C6</f>
        <v>11583</v>
      </c>
    </row>
    <row r="69" customFormat="false" ht="15" hidden="false" customHeight="false" outlineLevel="0" collapsed="false">
      <c r="A69" s="76" t="n">
        <v>46054</v>
      </c>
      <c r="B69" s="5" t="s">
        <v>18</v>
      </c>
      <c r="C69" s="5" t="s">
        <v>67</v>
      </c>
      <c r="D69" s="77" t="n">
        <f aca="false">Forecast!C7</f>
        <v>7644</v>
      </c>
    </row>
    <row r="70" customFormat="false" ht="15" hidden="false" customHeight="false" outlineLevel="0" collapsed="false">
      <c r="A70" s="76" t="n">
        <v>46054</v>
      </c>
      <c r="B70" s="5" t="s">
        <v>18</v>
      </c>
      <c r="C70" s="5" t="s">
        <v>68</v>
      </c>
      <c r="D70" s="77" t="n">
        <f aca="false">Forecast!C8</f>
        <v>3978</v>
      </c>
    </row>
    <row r="71" customFormat="false" ht="15" hidden="false" customHeight="false" outlineLevel="0" collapsed="false">
      <c r="A71" s="76" t="n">
        <v>46082</v>
      </c>
      <c r="B71" s="5" t="s">
        <v>18</v>
      </c>
      <c r="C71" s="5" t="s">
        <v>66</v>
      </c>
      <c r="D71" s="77" t="n">
        <f aca="false">Forecast!D6</f>
        <v>14040</v>
      </c>
    </row>
    <row r="72" customFormat="false" ht="15" hidden="false" customHeight="false" outlineLevel="0" collapsed="false">
      <c r="A72" s="76" t="n">
        <v>46082</v>
      </c>
      <c r="B72" s="5" t="s">
        <v>18</v>
      </c>
      <c r="C72" s="5" t="s">
        <v>67</v>
      </c>
      <c r="D72" s="77" t="n">
        <f aca="false">Forecast!D7</f>
        <v>8910</v>
      </c>
    </row>
    <row r="73" customFormat="false" ht="15" hidden="false" customHeight="false" outlineLevel="0" collapsed="false">
      <c r="A73" s="76" t="n">
        <v>46082</v>
      </c>
      <c r="B73" s="5" t="s">
        <v>18</v>
      </c>
      <c r="C73" s="5" t="s">
        <v>68</v>
      </c>
      <c r="D73" s="77" t="n">
        <f aca="false">Forecast!D8</f>
        <v>4635</v>
      </c>
    </row>
    <row r="74" customFormat="false" ht="15" hidden="false" customHeight="false" outlineLevel="0" collapsed="false">
      <c r="A74" s="76" t="n">
        <v>46113</v>
      </c>
      <c r="B74" s="5" t="s">
        <v>18</v>
      </c>
      <c r="C74" s="5" t="s">
        <v>66</v>
      </c>
      <c r="D74" s="77" t="n">
        <f aca="false">Forecast!E6</f>
        <v>14580</v>
      </c>
    </row>
    <row r="75" customFormat="false" ht="15" hidden="false" customHeight="false" outlineLevel="0" collapsed="false">
      <c r="A75" s="76" t="n">
        <v>46113</v>
      </c>
      <c r="B75" s="5" t="s">
        <v>18</v>
      </c>
      <c r="C75" s="5" t="s">
        <v>67</v>
      </c>
      <c r="D75" s="77" t="n">
        <f aca="false">Forecast!E7</f>
        <v>8730</v>
      </c>
    </row>
    <row r="76" customFormat="false" ht="15" hidden="false" customHeight="false" outlineLevel="0" collapsed="false">
      <c r="A76" s="76" t="n">
        <v>46113</v>
      </c>
      <c r="B76" s="5" t="s">
        <v>18</v>
      </c>
      <c r="C76" s="5" t="s">
        <v>68</v>
      </c>
      <c r="D76" s="77" t="n">
        <f aca="false">Forecast!E8</f>
        <v>4545</v>
      </c>
    </row>
    <row r="77" customFormat="false" ht="15" hidden="false" customHeight="false" outlineLevel="0" collapsed="false">
      <c r="A77" s="76" t="n">
        <v>46143</v>
      </c>
      <c r="B77" s="5" t="s">
        <v>18</v>
      </c>
      <c r="C77" s="5" t="s">
        <v>66</v>
      </c>
      <c r="D77" s="77" t="n">
        <f aca="false">Forecast!F6</f>
        <v>15696</v>
      </c>
    </row>
    <row r="78" customFormat="false" ht="15" hidden="false" customHeight="false" outlineLevel="0" collapsed="false">
      <c r="A78" s="76" t="n">
        <v>46143</v>
      </c>
      <c r="B78" s="5" t="s">
        <v>18</v>
      </c>
      <c r="C78" s="5" t="s">
        <v>67</v>
      </c>
      <c r="D78" s="77" t="n">
        <f aca="false">Forecast!F7</f>
        <v>8256</v>
      </c>
    </row>
    <row r="79" customFormat="false" ht="15" hidden="false" customHeight="false" outlineLevel="0" collapsed="false">
      <c r="A79" s="76" t="n">
        <v>46143</v>
      </c>
      <c r="B79" s="5" t="s">
        <v>18</v>
      </c>
      <c r="C79" s="5" t="s">
        <v>68</v>
      </c>
      <c r="D79" s="77" t="n">
        <f aca="false">Forecast!F8</f>
        <v>4944</v>
      </c>
    </row>
    <row r="80" customFormat="false" ht="15" hidden="false" customHeight="false" outlineLevel="0" collapsed="false">
      <c r="A80" s="76" t="n">
        <v>46174</v>
      </c>
      <c r="B80" s="5" t="s">
        <v>18</v>
      </c>
      <c r="C80" s="5" t="s">
        <v>66</v>
      </c>
      <c r="D80" s="77" t="n">
        <f aca="false">Forecast!G6</f>
        <v>14445</v>
      </c>
    </row>
    <row r="81" customFormat="false" ht="15" hidden="false" customHeight="false" outlineLevel="0" collapsed="false">
      <c r="A81" s="76" t="n">
        <v>46174</v>
      </c>
      <c r="B81" s="5" t="s">
        <v>18</v>
      </c>
      <c r="C81" s="5" t="s">
        <v>67</v>
      </c>
      <c r="D81" s="77" t="n">
        <f aca="false">Forecast!G7</f>
        <v>7200</v>
      </c>
    </row>
    <row r="82" customFormat="false" ht="15" hidden="false" customHeight="false" outlineLevel="0" collapsed="false">
      <c r="A82" s="76" t="n">
        <v>46174</v>
      </c>
      <c r="B82" s="5" t="s">
        <v>18</v>
      </c>
      <c r="C82" s="5" t="s">
        <v>68</v>
      </c>
      <c r="D82" s="77" t="n">
        <f aca="false">Forecast!G8</f>
        <v>4680</v>
      </c>
    </row>
    <row r="83" customFormat="false" ht="15" hidden="false" customHeight="false" outlineLevel="0" collapsed="false">
      <c r="A83" s="76" t="n">
        <v>46204</v>
      </c>
      <c r="B83" s="5" t="s">
        <v>18</v>
      </c>
      <c r="C83" s="5" t="s">
        <v>66</v>
      </c>
      <c r="D83" s="77" t="n">
        <f aca="false">Forecast!H6</f>
        <v>13608</v>
      </c>
    </row>
    <row r="84" customFormat="false" ht="15" hidden="false" customHeight="false" outlineLevel="0" collapsed="false">
      <c r="A84" s="76" t="n">
        <v>46204</v>
      </c>
      <c r="B84" s="5" t="s">
        <v>18</v>
      </c>
      <c r="C84" s="5" t="s">
        <v>67</v>
      </c>
      <c r="D84" s="77" t="n">
        <f aca="false">Forecast!H7</f>
        <v>7560</v>
      </c>
    </row>
    <row r="85" customFormat="false" ht="15" hidden="false" customHeight="false" outlineLevel="0" collapsed="false">
      <c r="A85" s="76" t="n">
        <v>46204</v>
      </c>
      <c r="B85" s="5" t="s">
        <v>18</v>
      </c>
      <c r="C85" s="5" t="s">
        <v>68</v>
      </c>
      <c r="D85" s="77" t="n">
        <f aca="false">Forecast!H8</f>
        <v>4326</v>
      </c>
    </row>
    <row r="86" customFormat="false" ht="15" hidden="false" customHeight="false" outlineLevel="0" collapsed="false">
      <c r="A86" s="76" t="n">
        <v>46235</v>
      </c>
      <c r="B86" s="5" t="s">
        <v>18</v>
      </c>
      <c r="C86" s="5" t="s">
        <v>66</v>
      </c>
      <c r="D86" s="77" t="n">
        <f aca="false">Forecast!I6</f>
        <v>14850</v>
      </c>
    </row>
    <row r="87" customFormat="false" ht="15" hidden="false" customHeight="false" outlineLevel="0" collapsed="false">
      <c r="A87" s="76" t="n">
        <v>46235</v>
      </c>
      <c r="B87" s="5" t="s">
        <v>18</v>
      </c>
      <c r="C87" s="5" t="s">
        <v>67</v>
      </c>
      <c r="D87" s="77" t="n">
        <f aca="false">Forecast!I7</f>
        <v>8550</v>
      </c>
    </row>
    <row r="88" customFormat="false" ht="15" hidden="false" customHeight="false" outlineLevel="0" collapsed="false">
      <c r="A88" s="76" t="n">
        <v>46235</v>
      </c>
      <c r="B88" s="5" t="s">
        <v>18</v>
      </c>
      <c r="C88" s="5" t="s">
        <v>68</v>
      </c>
      <c r="D88" s="77" t="n">
        <f aca="false">Forecast!I8</f>
        <v>4725</v>
      </c>
    </row>
    <row r="89" customFormat="false" ht="15" hidden="false" customHeight="false" outlineLevel="0" collapsed="false">
      <c r="A89" s="76" t="n">
        <v>46266</v>
      </c>
      <c r="B89" s="5" t="s">
        <v>18</v>
      </c>
      <c r="C89" s="5" t="s">
        <v>66</v>
      </c>
      <c r="D89" s="77" t="n">
        <f aca="false">Forecast!J6</f>
        <v>16677</v>
      </c>
    </row>
    <row r="90" customFormat="false" ht="15" hidden="false" customHeight="false" outlineLevel="0" collapsed="false">
      <c r="A90" s="76" t="n">
        <v>46266</v>
      </c>
      <c r="B90" s="5" t="s">
        <v>18</v>
      </c>
      <c r="C90" s="5" t="s">
        <v>67</v>
      </c>
      <c r="D90" s="77" t="n">
        <f aca="false">Forecast!J7</f>
        <v>9894</v>
      </c>
    </row>
    <row r="91" customFormat="false" ht="15" hidden="false" customHeight="false" outlineLevel="0" collapsed="false">
      <c r="A91" s="76" t="n">
        <v>46266</v>
      </c>
      <c r="B91" s="5" t="s">
        <v>18</v>
      </c>
      <c r="C91" s="5" t="s">
        <v>68</v>
      </c>
      <c r="D91" s="77" t="n">
        <f aca="false">Forecast!J8</f>
        <v>5304</v>
      </c>
    </row>
    <row r="92" customFormat="false" ht="15" hidden="false" customHeight="false" outlineLevel="0" collapsed="false">
      <c r="A92" s="76" t="n">
        <v>46296</v>
      </c>
      <c r="B92" s="5" t="s">
        <v>18</v>
      </c>
      <c r="C92" s="5" t="s">
        <v>66</v>
      </c>
      <c r="D92" s="77" t="n">
        <f aca="false">Forecast!K6</f>
        <v>18468</v>
      </c>
    </row>
    <row r="93" customFormat="false" ht="15" hidden="false" customHeight="false" outlineLevel="0" collapsed="false">
      <c r="A93" s="76" t="n">
        <v>46296</v>
      </c>
      <c r="B93" s="5" t="s">
        <v>18</v>
      </c>
      <c r="C93" s="5" t="s">
        <v>67</v>
      </c>
      <c r="D93" s="77" t="n">
        <f aca="false">Forecast!K7</f>
        <v>10944</v>
      </c>
    </row>
    <row r="94" customFormat="false" ht="15" hidden="false" customHeight="false" outlineLevel="0" collapsed="false">
      <c r="A94" s="76" t="n">
        <v>46296</v>
      </c>
      <c r="B94" s="5" t="s">
        <v>18</v>
      </c>
      <c r="C94" s="5" t="s">
        <v>68</v>
      </c>
      <c r="D94" s="77" t="n">
        <f aca="false">Forecast!K8</f>
        <v>5928</v>
      </c>
    </row>
    <row r="95" customFormat="false" ht="15" hidden="false" customHeight="false" outlineLevel="0" collapsed="false">
      <c r="A95" s="76" t="n">
        <v>46327</v>
      </c>
      <c r="B95" s="5" t="s">
        <v>18</v>
      </c>
      <c r="C95" s="5" t="s">
        <v>66</v>
      </c>
      <c r="D95" s="77" t="n">
        <f aca="false">Forecast!L6</f>
        <v>24300</v>
      </c>
    </row>
    <row r="96" customFormat="false" ht="15" hidden="false" customHeight="false" outlineLevel="0" collapsed="false">
      <c r="A96" s="76" t="n">
        <v>46327</v>
      </c>
      <c r="B96" s="5" t="s">
        <v>18</v>
      </c>
      <c r="C96" s="5" t="s">
        <v>67</v>
      </c>
      <c r="D96" s="77" t="n">
        <f aca="false">Forecast!L7</f>
        <v>14400</v>
      </c>
    </row>
    <row r="97" customFormat="false" ht="15" hidden="false" customHeight="false" outlineLevel="0" collapsed="false">
      <c r="A97" s="76" t="n">
        <v>46327</v>
      </c>
      <c r="B97" s="5" t="s">
        <v>18</v>
      </c>
      <c r="C97" s="5" t="s">
        <v>68</v>
      </c>
      <c r="D97" s="77" t="n">
        <f aca="false">Forecast!L8</f>
        <v>7800</v>
      </c>
    </row>
    <row r="98" customFormat="false" ht="15" hidden="false" customHeight="false" outlineLevel="0" collapsed="false">
      <c r="A98" s="76" t="n">
        <v>46357</v>
      </c>
      <c r="B98" s="5" t="s">
        <v>18</v>
      </c>
      <c r="C98" s="5" t="s">
        <v>66</v>
      </c>
      <c r="D98" s="77" t="n">
        <f aca="false">Forecast!M6</f>
        <v>22356</v>
      </c>
    </row>
    <row r="99" customFormat="false" ht="15" hidden="false" customHeight="false" outlineLevel="0" collapsed="false">
      <c r="A99" s="76" t="n">
        <v>46357</v>
      </c>
      <c r="B99" s="5" t="s">
        <v>18</v>
      </c>
      <c r="C99" s="5" t="s">
        <v>67</v>
      </c>
      <c r="D99" s="77" t="n">
        <f aca="false">Forecast!M7</f>
        <v>13248</v>
      </c>
    </row>
    <row r="100" customFormat="false" ht="15" hidden="false" customHeight="false" outlineLevel="0" collapsed="false">
      <c r="A100" s="76" t="n">
        <v>46357</v>
      </c>
      <c r="B100" s="5" t="s">
        <v>18</v>
      </c>
      <c r="C100" s="5" t="s">
        <v>68</v>
      </c>
      <c r="D100" s="77" t="n">
        <f aca="false">Forecast!M8</f>
        <v>7176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4"/>
  </cols>
  <sheetData>
    <row r="1" customFormat="false" ht="15" hidden="false" customHeight="false" outlineLevel="0" collapsed="false">
      <c r="A1" s="75" t="s">
        <v>280</v>
      </c>
      <c r="B1" s="75" t="s">
        <v>284</v>
      </c>
      <c r="C1" s="75" t="s">
        <v>285</v>
      </c>
      <c r="D1" s="75" t="s">
        <v>286</v>
      </c>
      <c r="E1" s="75" t="s">
        <v>287</v>
      </c>
      <c r="F1" s="75" t="s">
        <v>288</v>
      </c>
    </row>
    <row r="2" customFormat="false" ht="15" hidden="false" customHeight="false" outlineLevel="0" collapsed="false">
      <c r="A2" s="5" t="n">
        <v>1</v>
      </c>
      <c r="B2" s="5" t="s">
        <v>289</v>
      </c>
      <c r="C2" s="5" t="s">
        <v>290</v>
      </c>
      <c r="D2" s="5" t="s">
        <v>290</v>
      </c>
      <c r="E2" s="5" t="n">
        <v>1</v>
      </c>
      <c r="F2" s="5" t="n">
        <v>1</v>
      </c>
    </row>
    <row r="3" customFormat="false" ht="15" hidden="false" customHeight="false" outlineLevel="0" collapsed="false">
      <c r="A3" s="5" t="n">
        <v>2</v>
      </c>
      <c r="B3" s="5" t="s">
        <v>291</v>
      </c>
      <c r="C3" s="5" t="s">
        <v>290</v>
      </c>
      <c r="D3" s="5" t="s">
        <v>290</v>
      </c>
      <c r="E3" s="5" t="n">
        <v>1</v>
      </c>
      <c r="F3" s="5" t="n">
        <v>1</v>
      </c>
    </row>
    <row r="4" customFormat="false" ht="15" hidden="false" customHeight="false" outlineLevel="0" collapsed="false">
      <c r="A4" s="5" t="n">
        <v>3</v>
      </c>
      <c r="B4" s="5" t="s">
        <v>292</v>
      </c>
      <c r="C4" s="5" t="s">
        <v>290</v>
      </c>
      <c r="D4" s="5" t="s">
        <v>290</v>
      </c>
      <c r="E4" s="5" t="n">
        <v>1</v>
      </c>
      <c r="F4" s="5" t="n">
        <v>1</v>
      </c>
    </row>
    <row r="5" customFormat="false" ht="15" hidden="false" customHeight="false" outlineLevel="0" collapsed="false">
      <c r="A5" s="5" t="n">
        <v>4</v>
      </c>
      <c r="B5" s="5" t="s">
        <v>73</v>
      </c>
      <c r="C5" s="5" t="s">
        <v>293</v>
      </c>
      <c r="D5" s="5" t="s">
        <v>294</v>
      </c>
      <c r="E5" s="5" t="n">
        <v>2</v>
      </c>
      <c r="F5" s="5" t="n">
        <v>-1</v>
      </c>
    </row>
    <row r="6" customFormat="false" ht="15" hidden="false" customHeight="false" outlineLevel="0" collapsed="false">
      <c r="A6" s="5" t="n">
        <v>5</v>
      </c>
      <c r="B6" s="5" t="s">
        <v>74</v>
      </c>
      <c r="C6" s="5" t="s">
        <v>293</v>
      </c>
      <c r="D6" s="5" t="s">
        <v>294</v>
      </c>
      <c r="E6" s="5" t="n">
        <v>2</v>
      </c>
      <c r="F6" s="5" t="n">
        <v>-1</v>
      </c>
    </row>
    <row r="7" customFormat="false" ht="15" hidden="false" customHeight="false" outlineLevel="0" collapsed="false">
      <c r="A7" s="5" t="n">
        <v>6</v>
      </c>
      <c r="B7" s="5" t="s">
        <v>75</v>
      </c>
      <c r="C7" s="5" t="s">
        <v>293</v>
      </c>
      <c r="D7" s="5" t="s">
        <v>294</v>
      </c>
      <c r="E7" s="5" t="n">
        <v>2</v>
      </c>
      <c r="F7" s="5" t="n">
        <v>-1</v>
      </c>
    </row>
    <row r="8" customFormat="false" ht="15" hidden="false" customHeight="false" outlineLevel="0" collapsed="false">
      <c r="A8" s="5" t="n">
        <v>7</v>
      </c>
      <c r="B8" s="5" t="s">
        <v>80</v>
      </c>
      <c r="C8" s="5" t="s">
        <v>295</v>
      </c>
      <c r="D8" s="5" t="s">
        <v>296</v>
      </c>
      <c r="E8" s="5" t="n">
        <v>3</v>
      </c>
      <c r="F8" s="5" t="n">
        <v>-1</v>
      </c>
    </row>
    <row r="9" customFormat="false" ht="15" hidden="false" customHeight="false" outlineLevel="0" collapsed="false">
      <c r="A9" s="5" t="n">
        <v>8</v>
      </c>
      <c r="B9" s="5" t="s">
        <v>81</v>
      </c>
      <c r="C9" s="5" t="s">
        <v>295</v>
      </c>
      <c r="D9" s="5" t="s">
        <v>296</v>
      </c>
      <c r="E9" s="5" t="n">
        <v>3</v>
      </c>
      <c r="F9" s="5" t="n">
        <v>-1</v>
      </c>
    </row>
    <row r="10" customFormat="false" ht="15" hidden="false" customHeight="false" outlineLevel="0" collapsed="false">
      <c r="A10" s="5" t="n">
        <v>9</v>
      </c>
      <c r="B10" s="5" t="s">
        <v>82</v>
      </c>
      <c r="C10" s="5" t="s">
        <v>295</v>
      </c>
      <c r="D10" s="5" t="s">
        <v>296</v>
      </c>
      <c r="E10" s="5" t="n">
        <v>3</v>
      </c>
      <c r="F10" s="5" t="n">
        <v>-1</v>
      </c>
    </row>
    <row r="11" customFormat="false" ht="15" hidden="false" customHeight="false" outlineLevel="0" collapsed="false">
      <c r="A11" s="5" t="n">
        <v>10</v>
      </c>
      <c r="B11" s="5" t="s">
        <v>83</v>
      </c>
      <c r="C11" s="5" t="s">
        <v>295</v>
      </c>
      <c r="D11" s="5" t="s">
        <v>296</v>
      </c>
      <c r="E11" s="5" t="n">
        <v>3</v>
      </c>
      <c r="F11" s="5" t="n">
        <v>-1</v>
      </c>
    </row>
    <row r="12" customFormat="false" ht="15" hidden="false" customHeight="false" outlineLevel="0" collapsed="false">
      <c r="A12" s="5" t="n">
        <v>11</v>
      </c>
      <c r="B12" s="5" t="s">
        <v>84</v>
      </c>
      <c r="C12" s="5" t="s">
        <v>295</v>
      </c>
      <c r="D12" s="5" t="s">
        <v>296</v>
      </c>
      <c r="E12" s="5" t="n">
        <v>3</v>
      </c>
      <c r="F12" s="5" t="n">
        <v>-1</v>
      </c>
    </row>
    <row r="13" customFormat="false" ht="15" hidden="false" customHeight="false" outlineLevel="0" collapsed="false">
      <c r="A13" s="5" t="n">
        <v>12</v>
      </c>
      <c r="B13" s="5" t="s">
        <v>85</v>
      </c>
      <c r="C13" s="5" t="s">
        <v>295</v>
      </c>
      <c r="D13" s="5" t="s">
        <v>296</v>
      </c>
      <c r="E13" s="5" t="n">
        <v>3</v>
      </c>
      <c r="F13" s="5" t="n">
        <v>-1</v>
      </c>
    </row>
    <row r="14" customFormat="false" ht="15" hidden="false" customHeight="false" outlineLevel="0" collapsed="false">
      <c r="A14" s="5" t="n">
        <v>13</v>
      </c>
      <c r="B14" s="5" t="s">
        <v>86</v>
      </c>
      <c r="C14" s="5" t="s">
        <v>295</v>
      </c>
      <c r="D14" s="5" t="s">
        <v>296</v>
      </c>
      <c r="E14" s="5" t="n">
        <v>3</v>
      </c>
      <c r="F14" s="5" t="n">
        <v>-1</v>
      </c>
    </row>
    <row r="15" customFormat="false" ht="15" hidden="false" customHeight="false" outlineLevel="0" collapsed="false">
      <c r="A15" s="5" t="n">
        <v>14</v>
      </c>
      <c r="B15" s="5" t="s">
        <v>87</v>
      </c>
      <c r="C15" s="5" t="s">
        <v>295</v>
      </c>
      <c r="D15" s="5" t="s">
        <v>296</v>
      </c>
      <c r="E15" s="5" t="n">
        <v>3</v>
      </c>
      <c r="F15" s="5" t="n">
        <v>-1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</cols>
  <sheetData>
    <row r="1" customFormat="false" ht="15" hidden="false" customHeight="false" outlineLevel="0" collapsed="false">
      <c r="A1" s="75" t="s">
        <v>281</v>
      </c>
      <c r="B1" s="75" t="s">
        <v>297</v>
      </c>
    </row>
    <row r="2" customFormat="false" ht="15" hidden="false" customHeight="false" outlineLevel="0" collapsed="false">
      <c r="A2" s="5" t="s">
        <v>66</v>
      </c>
      <c r="B2" s="5" t="n">
        <v>1</v>
      </c>
    </row>
    <row r="3" customFormat="false" ht="15" hidden="false" customHeight="false" outlineLevel="0" collapsed="false">
      <c r="A3" s="5" t="s">
        <v>67</v>
      </c>
      <c r="B3" s="5" t="n">
        <v>2</v>
      </c>
    </row>
    <row r="4" customFormat="false" ht="15" hidden="false" customHeight="false" outlineLevel="0" collapsed="false">
      <c r="A4" s="5" t="s">
        <v>68</v>
      </c>
      <c r="B4" s="5" t="n">
        <v>3</v>
      </c>
    </row>
    <row r="5" customFormat="false" ht="15" hidden="false" customHeight="false" outlineLevel="0" collapsed="false">
      <c r="A5" s="5" t="s">
        <v>282</v>
      </c>
      <c r="B5" s="5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4"/>
  </cols>
  <sheetData>
    <row r="1" customFormat="false" ht="15" hidden="false" customHeight="false" outlineLevel="0" collapsed="false">
      <c r="A1" s="75" t="s">
        <v>279</v>
      </c>
      <c r="B1" s="75" t="s">
        <v>298</v>
      </c>
      <c r="C1" s="75" t="s">
        <v>299</v>
      </c>
    </row>
    <row r="2" customFormat="false" ht="15" hidden="false" customHeight="false" outlineLevel="0" collapsed="false">
      <c r="A2" s="5" t="s">
        <v>20</v>
      </c>
      <c r="B2" s="5" t="n">
        <v>1</v>
      </c>
      <c r="C2" s="5" t="s">
        <v>300</v>
      </c>
    </row>
    <row r="3" customFormat="false" ht="15" hidden="false" customHeight="false" outlineLevel="0" collapsed="false">
      <c r="A3" s="5" t="s">
        <v>59</v>
      </c>
      <c r="B3" s="5" t="n">
        <v>2</v>
      </c>
      <c r="C3" s="5" t="s">
        <v>301</v>
      </c>
    </row>
    <row r="4" customFormat="false" ht="15" hidden="false" customHeight="false" outlineLevel="0" collapsed="false">
      <c r="A4" s="5" t="s">
        <v>18</v>
      </c>
      <c r="B4" s="5" t="n">
        <v>3</v>
      </c>
      <c r="C4" s="5" t="s"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4"/>
  </cols>
  <sheetData>
    <row r="1" customFormat="false" ht="15" hidden="false" customHeight="false" outlineLevel="0" collapsed="false">
      <c r="A1" s="75" t="s">
        <v>278</v>
      </c>
      <c r="B1" s="75" t="s">
        <v>303</v>
      </c>
      <c r="C1" s="75" t="s">
        <v>304</v>
      </c>
      <c r="D1" s="75" t="s">
        <v>225</v>
      </c>
      <c r="E1" s="75" t="s">
        <v>305</v>
      </c>
      <c r="F1" s="75" t="s">
        <v>306</v>
      </c>
      <c r="G1" s="75" t="s">
        <v>307</v>
      </c>
    </row>
    <row r="2" customFormat="false" ht="15" hidden="false" customHeight="false" outlineLevel="0" collapsed="false">
      <c r="A2" s="78" t="n">
        <v>46023</v>
      </c>
      <c r="B2" s="79" t="n">
        <v>2026</v>
      </c>
      <c r="C2" s="79" t="n">
        <v>1</v>
      </c>
      <c r="D2" s="79" t="s">
        <v>308</v>
      </c>
      <c r="E2" s="79" t="s">
        <v>188</v>
      </c>
      <c r="F2" s="79" t="s">
        <v>309</v>
      </c>
      <c r="G2" s="58" t="n">
        <f aca="false">IF(C2&lt;=Assumptions!$B$6,1,0)</f>
        <v>1</v>
      </c>
    </row>
    <row r="3" customFormat="false" ht="15" hidden="false" customHeight="false" outlineLevel="0" collapsed="false">
      <c r="A3" s="78" t="n">
        <v>46054</v>
      </c>
      <c r="B3" s="79" t="n">
        <v>2026</v>
      </c>
      <c r="C3" s="79" t="n">
        <v>2</v>
      </c>
      <c r="D3" s="79" t="s">
        <v>310</v>
      </c>
      <c r="E3" s="79" t="s">
        <v>189</v>
      </c>
      <c r="F3" s="79" t="s">
        <v>309</v>
      </c>
      <c r="G3" s="58" t="n">
        <f aca="false">IF(C3&lt;=Assumptions!$B$6,1,0)</f>
        <v>1</v>
      </c>
    </row>
    <row r="4" customFormat="false" ht="15" hidden="false" customHeight="false" outlineLevel="0" collapsed="false">
      <c r="A4" s="78" t="n">
        <v>46082</v>
      </c>
      <c r="B4" s="79" t="n">
        <v>2026</v>
      </c>
      <c r="C4" s="79" t="n">
        <v>3</v>
      </c>
      <c r="D4" s="79" t="s">
        <v>311</v>
      </c>
      <c r="E4" s="79" t="s">
        <v>190</v>
      </c>
      <c r="F4" s="79" t="s">
        <v>309</v>
      </c>
      <c r="G4" s="58" t="n">
        <f aca="false">IF(C4&lt;=Assumptions!$B$6,1,0)</f>
        <v>1</v>
      </c>
    </row>
    <row r="5" customFormat="false" ht="15" hidden="false" customHeight="false" outlineLevel="0" collapsed="false">
      <c r="A5" s="78" t="n">
        <v>46113</v>
      </c>
      <c r="B5" s="79" t="n">
        <v>2026</v>
      </c>
      <c r="C5" s="79" t="n">
        <v>4</v>
      </c>
      <c r="D5" s="79" t="s">
        <v>312</v>
      </c>
      <c r="E5" s="79" t="s">
        <v>191</v>
      </c>
      <c r="F5" s="79" t="s">
        <v>313</v>
      </c>
      <c r="G5" s="58" t="n">
        <f aca="false">IF(C5&lt;=Assumptions!$B$6,1,0)</f>
        <v>1</v>
      </c>
    </row>
    <row r="6" customFormat="false" ht="15" hidden="false" customHeight="false" outlineLevel="0" collapsed="false">
      <c r="A6" s="78" t="n">
        <v>46143</v>
      </c>
      <c r="B6" s="79" t="n">
        <v>2026</v>
      </c>
      <c r="C6" s="79" t="n">
        <v>5</v>
      </c>
      <c r="D6" s="79" t="s">
        <v>314</v>
      </c>
      <c r="E6" s="79" t="s">
        <v>192</v>
      </c>
      <c r="F6" s="79" t="s">
        <v>313</v>
      </c>
      <c r="G6" s="58" t="n">
        <f aca="false">IF(C6&lt;=Assumptions!$B$6,1,0)</f>
        <v>1</v>
      </c>
    </row>
    <row r="7" customFormat="false" ht="15" hidden="false" customHeight="false" outlineLevel="0" collapsed="false">
      <c r="A7" s="78" t="n">
        <v>46174</v>
      </c>
      <c r="B7" s="79" t="n">
        <v>2026</v>
      </c>
      <c r="C7" s="79" t="n">
        <v>6</v>
      </c>
      <c r="D7" s="79" t="s">
        <v>315</v>
      </c>
      <c r="E7" s="79" t="s">
        <v>193</v>
      </c>
      <c r="F7" s="79" t="s">
        <v>313</v>
      </c>
      <c r="G7" s="58" t="n">
        <f aca="false">IF(C7&lt;=Assumptions!$B$6,1,0)</f>
        <v>1</v>
      </c>
    </row>
    <row r="8" customFormat="false" ht="15" hidden="false" customHeight="false" outlineLevel="0" collapsed="false">
      <c r="A8" s="78" t="n">
        <v>46204</v>
      </c>
      <c r="B8" s="79" t="n">
        <v>2026</v>
      </c>
      <c r="C8" s="79" t="n">
        <v>7</v>
      </c>
      <c r="D8" s="79" t="s">
        <v>316</v>
      </c>
      <c r="E8" s="79" t="s">
        <v>194</v>
      </c>
      <c r="F8" s="79" t="s">
        <v>317</v>
      </c>
      <c r="G8" s="58" t="n">
        <f aca="false">IF(C8&lt;=Assumptions!$B$6,1,0)</f>
        <v>1</v>
      </c>
    </row>
    <row r="9" customFormat="false" ht="15" hidden="false" customHeight="false" outlineLevel="0" collapsed="false">
      <c r="A9" s="78" t="n">
        <v>46235</v>
      </c>
      <c r="B9" s="79" t="n">
        <v>2026</v>
      </c>
      <c r="C9" s="79" t="n">
        <v>8</v>
      </c>
      <c r="D9" s="79" t="s">
        <v>318</v>
      </c>
      <c r="E9" s="79" t="s">
        <v>195</v>
      </c>
      <c r="F9" s="79" t="s">
        <v>317</v>
      </c>
      <c r="G9" s="58" t="n">
        <f aca="false">IF(C9&lt;=Assumptions!$B$6,1,0)</f>
        <v>1</v>
      </c>
    </row>
    <row r="10" customFormat="false" ht="15" hidden="false" customHeight="false" outlineLevel="0" collapsed="false">
      <c r="A10" s="78" t="n">
        <v>46266</v>
      </c>
      <c r="B10" s="79" t="n">
        <v>2026</v>
      </c>
      <c r="C10" s="79" t="n">
        <v>9</v>
      </c>
      <c r="D10" s="79" t="s">
        <v>56</v>
      </c>
      <c r="E10" s="79" t="s">
        <v>196</v>
      </c>
      <c r="F10" s="79" t="s">
        <v>317</v>
      </c>
      <c r="G10" s="58" t="n">
        <f aca="false">IF(C10&lt;=Assumptions!$B$6,1,0)</f>
        <v>1</v>
      </c>
    </row>
    <row r="11" customFormat="false" ht="15" hidden="false" customHeight="false" outlineLevel="0" collapsed="false">
      <c r="A11" s="78" t="n">
        <v>46296</v>
      </c>
      <c r="B11" s="79" t="n">
        <v>2026</v>
      </c>
      <c r="C11" s="79" t="n">
        <v>10</v>
      </c>
      <c r="D11" s="79" t="s">
        <v>319</v>
      </c>
      <c r="E11" s="79" t="s">
        <v>197</v>
      </c>
      <c r="F11" s="79" t="s">
        <v>320</v>
      </c>
      <c r="G11" s="58" t="n">
        <f aca="false">IF(C11&lt;=Assumptions!$B$6,1,0)</f>
        <v>0</v>
      </c>
    </row>
    <row r="12" customFormat="false" ht="15" hidden="false" customHeight="false" outlineLevel="0" collapsed="false">
      <c r="A12" s="78" t="n">
        <v>46327</v>
      </c>
      <c r="B12" s="79" t="n">
        <v>2026</v>
      </c>
      <c r="C12" s="79" t="n">
        <v>11</v>
      </c>
      <c r="D12" s="79" t="s">
        <v>321</v>
      </c>
      <c r="E12" s="79" t="s">
        <v>198</v>
      </c>
      <c r="F12" s="79" t="s">
        <v>320</v>
      </c>
      <c r="G12" s="58" t="n">
        <f aca="false">IF(C12&lt;=Assumptions!$B$6,1,0)</f>
        <v>0</v>
      </c>
    </row>
    <row r="13" customFormat="false" ht="15" hidden="false" customHeight="false" outlineLevel="0" collapsed="false">
      <c r="A13" s="78" t="n">
        <v>46357</v>
      </c>
      <c r="B13" s="79" t="n">
        <v>2026</v>
      </c>
      <c r="C13" s="79" t="n">
        <v>12</v>
      </c>
      <c r="D13" s="79" t="s">
        <v>322</v>
      </c>
      <c r="E13" s="79" t="s">
        <v>199</v>
      </c>
      <c r="F13" s="79" t="s">
        <v>320</v>
      </c>
      <c r="G13" s="58" t="n">
        <f aca="false">IF(C13&lt;=Assumptions!$B$6,1,0)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4"/>
  </cols>
  <sheetData>
    <row r="1" customFormat="false" ht="15" hidden="false" customHeight="false" outlineLevel="0" collapsed="false">
      <c r="A1" s="75" t="s">
        <v>280</v>
      </c>
      <c r="B1" s="75" t="s">
        <v>284</v>
      </c>
      <c r="C1" s="75" t="s">
        <v>323</v>
      </c>
      <c r="D1" s="75" t="s">
        <v>16</v>
      </c>
      <c r="E1" s="75" t="s">
        <v>324</v>
      </c>
    </row>
    <row r="2" customFormat="false" ht="15" hidden="false" customHeight="false" outlineLevel="0" collapsed="false">
      <c r="A2" s="79" t="n">
        <v>1</v>
      </c>
      <c r="B2" s="79" t="s">
        <v>289</v>
      </c>
      <c r="C2" s="58" t="str">
        <f aca="false">Commentary!G11</f>
        <v>Price / Volume</v>
      </c>
      <c r="D2" s="58" t="str">
        <f aca="false">Commentary!H11</f>
        <v>March promotional pricing (about 2-3% below list) lifted units well above plan from April onward. The volume gain more than offset the lower price.</v>
      </c>
      <c r="E2" s="58" t="str">
        <f aca="false">Commentary!I11</f>
        <v>Promo pricing and +8% volume vs. budget carried through Q4. Review promo ROI before the FY2027 price file.</v>
      </c>
    </row>
    <row r="3" customFormat="false" ht="15" hidden="false" customHeight="false" outlineLevel="0" collapsed="false">
      <c r="A3" s="79" t="n">
        <v>2</v>
      </c>
      <c r="B3" s="79" t="s">
        <v>291</v>
      </c>
      <c r="C3" s="58" t="str">
        <f aca="false">Commentary!G12</f>
        <v>Volume (supply)</v>
      </c>
      <c r="D3" s="58" t="str">
        <f aca="false">Commentary!H12</f>
        <v>A supplier delay caused stockouts in May and June, with units 14-20% below plan in those months. Volume recovered to within 3-5% of plan by August-September; pricing held.</v>
      </c>
      <c r="E3" s="58" t="str">
        <f aca="false">Commentary!I12</f>
        <v>Forecast assumes -4% volume vs. budget in Q4. Second-source supplier qualified in August to reduce stockout risk.</v>
      </c>
    </row>
    <row r="4" customFormat="false" ht="15" hidden="false" customHeight="false" outlineLevel="0" collapsed="false">
      <c r="A4" s="79" t="n">
        <v>3</v>
      </c>
      <c r="B4" s="79" t="s">
        <v>292</v>
      </c>
      <c r="C4" s="58" t="str">
        <f aca="false">Commentary!G13</f>
        <v>Price</v>
      </c>
      <c r="D4" s="58" t="str">
        <f aca="false">Commentary!H13</f>
        <v>A 4% list price increase effective April held with no volume loss; units ran slightly ahead of plan.</v>
      </c>
      <c r="E4" s="58" t="str">
        <f aca="false">Commentary!I13</f>
        <v>Higher price and +4% volume carried through Q4.</v>
      </c>
    </row>
    <row r="5" customFormat="false" ht="15" hidden="false" customHeight="false" outlineLevel="0" collapsed="false">
      <c r="A5" s="79" t="n">
        <v>4</v>
      </c>
      <c r="B5" s="79" t="s">
        <v>73</v>
      </c>
      <c r="C5" s="58" t="str">
        <f aca="false">Commentary!G14</f>
        <v>Rate / Volume</v>
      </c>
      <c r="D5" s="58" t="str">
        <f aca="false">Commentary!H14</f>
        <v>Cotton input costs rose about 7% from April, raising Home Textiles material cost per unit. Higher Kitchenware volume also added material spend, which is volume-driven rather than a cost overrun.</v>
      </c>
      <c r="E5" s="58" t="str">
        <f aca="false">Commentary!I14</f>
        <v>Forecast keeps the higher textiles cost. Procurement is negotiating a 2027 fixed-price contract.</v>
      </c>
    </row>
    <row r="6" customFormat="false" ht="15" hidden="false" customHeight="false" outlineLevel="0" collapsed="false">
      <c r="A6" s="79" t="n">
        <v>5</v>
      </c>
      <c r="B6" s="79" t="s">
        <v>74</v>
      </c>
      <c r="C6" s="58" t="str">
        <f aca="false">Commentary!G15</f>
        <v>Efficiency</v>
      </c>
      <c r="D6" s="58" t="str">
        <f aca="false">Commentary!H15</f>
        <v>Overtime in July and August to rebuild Home Textiles inventory after the supplier delay; labor per unit ran 6-7% above standard in those months.</v>
      </c>
      <c r="E6" s="58" t="str">
        <f aca="false">Commentary!I15</f>
        <v>Overtime ended in September. Forecast carries 2% over standard.</v>
      </c>
    </row>
    <row r="7" customFormat="false" ht="15" hidden="false" customHeight="false" outlineLevel="0" collapsed="false">
      <c r="A7" s="79" t="n">
        <v>6</v>
      </c>
      <c r="B7" s="79" t="s">
        <v>75</v>
      </c>
      <c r="C7" s="58" t="str">
        <f aca="false">Commentary!G16</f>
        <v>Rate</v>
      </c>
      <c r="D7" s="58" t="str">
        <f aca="false">Commentary!H16</f>
        <v>Carrier fuel surcharges from May, plus expedited inbound and customer shipments in June-July during the stockout recovery. Freight peaked near 6% of revenue vs. 4.5% budgeted.</v>
      </c>
      <c r="E7" s="58" t="str">
        <f aca="false">Commentary!I16</f>
        <v>Forecast at 5.0% of revenue: surcharge stays, expediting stops. Carrier contract rebid planned for Q1 FY2027.</v>
      </c>
    </row>
    <row r="8" customFormat="false" ht="15" hidden="false" customHeight="false" outlineLevel="0" collapsed="false">
      <c r="A8" s="79" t="n">
        <v>7</v>
      </c>
      <c r="B8" s="79" t="s">
        <v>80</v>
      </c>
      <c r="C8" s="58" t="str">
        <f aca="false">Commentary!G17</f>
        <v>Timing / Headcount</v>
      </c>
      <c r="D8" s="58" t="str">
        <f aca="false">Commentary!H17</f>
        <v>Two open roles in February-March produced savings in H1. Both were filled by July, and July onward also carries a higher benefits renewal, so the run-rate is now above budget.</v>
      </c>
      <c r="E8" s="58" t="str">
        <f aca="false">Commentary!I17</f>
        <v>Forecast at $298K per month including holiday temp staff. The YTD favorability will partly reverse in Q4.</v>
      </c>
    </row>
    <row r="9" customFormat="false" ht="15" hidden="false" customHeight="false" outlineLevel="0" collapsed="false">
      <c r="A9" s="79" t="n">
        <v>8</v>
      </c>
      <c r="B9" s="79" t="s">
        <v>81</v>
      </c>
      <c r="C9" s="58" t="str">
        <f aca="false">Commentary!G18</f>
        <v>Discretionary</v>
      </c>
      <c r="D9" s="58" t="str">
        <f aca="false">Commentary!H18</f>
        <v>Unbudgeted spring campaign in March and a larger back-to-school push in August. Spend supported the Kitchenware volume gain.</v>
      </c>
      <c r="E9" s="58" t="str">
        <f aca="false">Commentary!I18</f>
        <v>Q4 held at 9.2% of revenue. Any further campaign needs a payback case.</v>
      </c>
    </row>
    <row r="10" customFormat="false" ht="15" hidden="false" customHeight="false" outlineLevel="0" collapsed="false">
      <c r="A10" s="79" t="n">
        <v>10</v>
      </c>
      <c r="B10" s="79" t="s">
        <v>83</v>
      </c>
      <c r="C10" s="58" t="str">
        <f aca="false">Commentary!G19</f>
        <v>Scope change</v>
      </c>
      <c r="D10" s="58" t="str">
        <f aca="false">Commentary!H19</f>
        <v>Inventory planning module added in May (about $6.5K per month), approved after the Home Textiles stockouts.</v>
      </c>
      <c r="E10" s="58" t="str">
        <f aca="false">Commentary!I19</f>
        <v>Run-rate of $44.7K per month carried forward. Permanent increase to build into the FY2027 budget.</v>
      </c>
    </row>
    <row r="11" customFormat="false" ht="15" hidden="false" customHeight="false" outlineLevel="0" collapsed="false">
      <c r="A11" s="79" t="n">
        <v>11</v>
      </c>
      <c r="B11" s="79" t="s">
        <v>84</v>
      </c>
      <c r="C11" s="58" t="str">
        <f aca="false">Commentary!G20</f>
        <v>One-time</v>
      </c>
      <c r="D11" s="58" t="str">
        <f aca="false">Commentary!H20</f>
        <v>Legal fees for renegotiating the textiles supplier contract and recruiter fees for the two hires, mostly in June and July.</v>
      </c>
      <c r="E11" s="58" t="str">
        <f aca="false">Commentary!I20</f>
        <v>Non-recurring. Forecast returns to about $24K per month.</v>
      </c>
    </row>
    <row r="12" customFormat="false" ht="15" hidden="false" customHeight="false" outlineLevel="0" collapsed="false">
      <c r="A12" s="79" t="n">
        <v>12</v>
      </c>
      <c r="B12" s="79" t="s">
        <v>85</v>
      </c>
      <c r="C12" s="58" t="str">
        <f aca="false">Commentary!G21</f>
        <v>Savings</v>
      </c>
      <c r="D12" s="58" t="str">
        <f aca="false">Commentary!H21</f>
        <v>One trade show attended virtually and lower sales travel in Q2-Q3.</v>
      </c>
      <c r="E12" s="58" t="str">
        <f aca="false">Commentary!I21</f>
        <v>Forecast at $13K per month, slightly below budget.</v>
      </c>
    </row>
    <row r="13" customFormat="false" ht="15" hidden="false" customHeight="false" outlineLevel="0" collapsed="false">
      <c r="A13" s="79" t="n">
        <v>9</v>
      </c>
      <c r="B13" s="79" t="s">
        <v>82</v>
      </c>
      <c r="C13" s="58" t="str">
        <f aca="false">Commentary!G22</f>
        <v>Contractual</v>
      </c>
      <c r="D13" s="58" t="str">
        <f aca="false">Commentary!H22</f>
        <v>Lease renewal escalator effective July (+$2.1K per month).</v>
      </c>
      <c r="E13" s="58" t="str">
        <f aca="false">Commentary!I22</f>
        <v>Carried in forecast.</v>
      </c>
    </row>
    <row r="14" customFormat="false" ht="15" hidden="false" customHeight="false" outlineLevel="0" collapsed="false">
      <c r="A14" s="79" t="n">
        <v>13</v>
      </c>
      <c r="B14" s="79" t="s">
        <v>86</v>
      </c>
      <c r="C14" s="58" t="str">
        <f aca="false">Commentary!G23</f>
        <v>Contractual</v>
      </c>
      <c r="D14" s="58" t="str">
        <f aca="false">Commentary!H23</f>
        <v>Policy renewed in July at about 8% higher premium.</v>
      </c>
      <c r="E14" s="58" t="str">
        <f aca="false">Commentary!I23</f>
        <v>Carried in forecast.</v>
      </c>
    </row>
    <row r="15" customFormat="false" ht="15" hidden="false" customHeight="false" outlineLevel="0" collapsed="false">
      <c r="A15" s="79" t="n">
        <v>14</v>
      </c>
      <c r="B15" s="79" t="s">
        <v>87</v>
      </c>
      <c r="C15" s="58" t="str">
        <f aca="false">Commentary!G24</f>
        <v>Mixed</v>
      </c>
      <c r="D15" s="58" t="str">
        <f aca="false">Commentary!H24</f>
        <v>Small month-to-month fluctuations; no single driver.</v>
      </c>
      <c r="E15" s="58" t="str">
        <f aca="false">Commentary!I24</f>
        <v>Forecast at YTD average.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2026-10-07T23:59:03Z</dcterms:created>
  <dc:creator>openpyxl</dc:creator>
  <dc:description/>
  <dc:language>en-US</dc:language>
  <cp:lastModifiedBy/>
  <dcterms:modified xsi:type="dcterms:W3CDTF">2026-10-07T19:59:05Z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